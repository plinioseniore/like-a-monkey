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Documents\Dario\like-a-monkey\data_mining\knn_classification\"/>
    </mc:Choice>
  </mc:AlternateContent>
  <bookViews>
    <workbookView xWindow="0" yWindow="0" windowWidth="15345" windowHeight="4455" activeTab="1"/>
  </bookViews>
  <sheets>
    <sheet name="DB" sheetId="5" r:id="rId1"/>
    <sheet name="Model" sheetId="3" r:id="rId2"/>
    <sheet name="Training Typicals" sheetId="1" r:id="rId3"/>
    <sheet name="Classification" sheetId="6" r:id="rId4"/>
  </sheets>
  <functionGroups builtInGroupCount="18"/>
  <definedNames>
    <definedName name="_xlnm._FilterDatabase" localSheetId="1" hidden="1">Model!$A$1:$U$1</definedName>
    <definedName name="_xlnm._FilterDatabase" localSheetId="2" hidden="1">'Training Typicals'!$A$1:$K$278</definedName>
  </definedName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" i="3" l="1"/>
  <c r="U3" i="3" l="1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2" i="3"/>
  <c r="I8" i="3"/>
  <c r="H2" i="3"/>
  <c r="O37" i="3" l="1"/>
  <c r="A37" i="3"/>
  <c r="O36" i="3"/>
  <c r="A36" i="3"/>
  <c r="O35" i="3"/>
  <c r="A35" i="3"/>
  <c r="O34" i="3"/>
  <c r="A34" i="3"/>
  <c r="O28" i="3"/>
  <c r="O29" i="3"/>
  <c r="O30" i="3"/>
  <c r="O31" i="3"/>
  <c r="O32" i="3"/>
  <c r="O33" i="3"/>
  <c r="A28" i="3"/>
  <c r="A29" i="3"/>
  <c r="A30" i="3"/>
  <c r="A31" i="3"/>
  <c r="A32" i="3"/>
  <c r="A33" i="3"/>
  <c r="A27" i="3"/>
  <c r="A26" i="3"/>
  <c r="A25" i="3"/>
  <c r="O6" i="3"/>
  <c r="A20" i="3"/>
  <c r="A21" i="3"/>
  <c r="A22" i="3"/>
  <c r="A23" i="3"/>
  <c r="A24" i="3"/>
  <c r="O2" i="3"/>
  <c r="O3" i="3"/>
  <c r="O4" i="3"/>
  <c r="O5" i="3"/>
  <c r="O7" i="3"/>
  <c r="O8" i="3"/>
  <c r="O9" i="3"/>
  <c r="O10" i="3"/>
  <c r="O11" i="3"/>
  <c r="A14" i="3"/>
  <c r="A18" i="3"/>
  <c r="A19" i="3"/>
  <c r="M35" i="3"/>
  <c r="M9" i="3"/>
  <c r="M32" i="3"/>
  <c r="M10" i="3"/>
  <c r="M13" i="3"/>
  <c r="M5" i="3"/>
  <c r="M18" i="3"/>
  <c r="M17" i="3"/>
  <c r="M21" i="3"/>
  <c r="M15" i="3"/>
  <c r="M25" i="3"/>
  <c r="M37" i="3"/>
  <c r="M8" i="3"/>
  <c r="M29" i="3"/>
  <c r="M2" i="3"/>
  <c r="M12" i="3"/>
  <c r="M33" i="3"/>
  <c r="M3" i="3"/>
  <c r="M20" i="3"/>
  <c r="M6" i="3"/>
  <c r="M7" i="3"/>
  <c r="M24" i="3"/>
  <c r="M22" i="3"/>
  <c r="M11" i="3"/>
  <c r="M28" i="3"/>
  <c r="M34" i="3"/>
  <c r="M19" i="3"/>
  <c r="M36" i="3"/>
  <c r="M16" i="3"/>
  <c r="M23" i="3"/>
  <c r="M14" i="3"/>
  <c r="M30" i="3"/>
  <c r="M27" i="3"/>
  <c r="M26" i="3"/>
  <c r="M31" i="3"/>
  <c r="A15" i="3" l="1"/>
  <c r="A16" i="3"/>
  <c r="A12" i="3"/>
  <c r="A11" i="3"/>
  <c r="A7" i="3"/>
  <c r="A3" i="3"/>
  <c r="A17" i="3"/>
  <c r="A13" i="3"/>
  <c r="A9" i="3"/>
  <c r="A5" i="3"/>
  <c r="A10" i="3"/>
  <c r="A8" i="3"/>
  <c r="A6" i="3"/>
  <c r="A4" i="3"/>
  <c r="A2" i="3"/>
  <c r="R32" i="3"/>
  <c r="K30" i="3"/>
  <c r="H32" i="3"/>
  <c r="H36" i="3"/>
  <c r="J36" i="3"/>
  <c r="R7" i="3"/>
  <c r="R24" i="3"/>
  <c r="Q22" i="3"/>
  <c r="I23" i="3"/>
  <c r="P9" i="3"/>
  <c r="Q17" i="3"/>
  <c r="J32" i="3"/>
  <c r="I33" i="3"/>
  <c r="P35" i="3"/>
  <c r="R6" i="3"/>
  <c r="I21" i="3"/>
  <c r="Q16" i="3"/>
  <c r="P30" i="3"/>
  <c r="H35" i="3"/>
  <c r="R25" i="3"/>
  <c r="J26" i="3"/>
  <c r="P10" i="3"/>
  <c r="Q19" i="3"/>
  <c r="R28" i="3"/>
  <c r="H31" i="3"/>
  <c r="I29" i="3"/>
  <c r="R36" i="3"/>
  <c r="Q25" i="3"/>
  <c r="R11" i="3"/>
  <c r="R23" i="3"/>
  <c r="H21" i="3"/>
  <c r="Q5" i="3"/>
  <c r="K21" i="3"/>
  <c r="Q3" i="3"/>
  <c r="R29" i="3"/>
  <c r="P36" i="3"/>
  <c r="R12" i="3"/>
  <c r="Q24" i="3"/>
  <c r="P14" i="3"/>
  <c r="Q31" i="3"/>
  <c r="R30" i="3"/>
  <c r="P34" i="3"/>
  <c r="K26" i="3"/>
  <c r="H23" i="3"/>
  <c r="Q10" i="3"/>
  <c r="Q18" i="3"/>
  <c r="R34" i="3"/>
  <c r="Q20" i="3"/>
  <c r="K32" i="3"/>
  <c r="Q26" i="3"/>
  <c r="J24" i="3"/>
  <c r="R3" i="3"/>
  <c r="Q4" i="3"/>
  <c r="P16" i="3"/>
  <c r="K35" i="3"/>
  <c r="P8" i="3"/>
  <c r="J34" i="3"/>
  <c r="J23" i="3"/>
  <c r="Q29" i="3"/>
  <c r="R10" i="3"/>
  <c r="P7" i="3"/>
  <c r="H30" i="3"/>
  <c r="R9" i="3"/>
  <c r="P31" i="3"/>
  <c r="P22" i="3"/>
  <c r="I31" i="3"/>
  <c r="J29" i="3"/>
  <c r="K34" i="3"/>
  <c r="J37" i="3"/>
  <c r="I26" i="3"/>
  <c r="K27" i="3"/>
  <c r="K25" i="3"/>
  <c r="I20" i="3"/>
  <c r="K23" i="3"/>
  <c r="Q7" i="3"/>
  <c r="K22" i="3"/>
  <c r="H29" i="3"/>
  <c r="P28" i="3"/>
  <c r="I25" i="3"/>
  <c r="R5" i="3"/>
  <c r="P15" i="3"/>
  <c r="P13" i="3"/>
  <c r="Q32" i="3"/>
  <c r="Q37" i="3"/>
  <c r="J25" i="3"/>
  <c r="P23" i="3"/>
  <c r="Q12" i="3"/>
  <c r="P2" i="3"/>
  <c r="R33" i="3"/>
  <c r="P29" i="3"/>
  <c r="Q34" i="3"/>
  <c r="K37" i="3"/>
  <c r="R26" i="3"/>
  <c r="P27" i="3"/>
  <c r="J27" i="3"/>
  <c r="P21" i="3"/>
  <c r="J21" i="3"/>
  <c r="P18" i="3"/>
  <c r="Q33" i="3"/>
  <c r="P26" i="3"/>
  <c r="P3" i="3"/>
  <c r="H28" i="3"/>
  <c r="H26" i="3"/>
  <c r="Q9" i="3"/>
  <c r="Q21" i="3"/>
  <c r="J20" i="3"/>
  <c r="P32" i="3"/>
  <c r="I22" i="3"/>
  <c r="I32" i="3"/>
  <c r="Q27" i="3"/>
  <c r="H22" i="3"/>
  <c r="P5" i="3"/>
  <c r="R15" i="3"/>
  <c r="Q11" i="3"/>
  <c r="R18" i="3"/>
  <c r="J28" i="3"/>
  <c r="P33" i="3"/>
  <c r="I34" i="3"/>
  <c r="R37" i="3"/>
  <c r="H25" i="3"/>
  <c r="R27" i="3"/>
  <c r="P25" i="3"/>
  <c r="Q23" i="3"/>
  <c r="Q8" i="3"/>
  <c r="J22" i="3"/>
  <c r="Q6" i="3"/>
  <c r="Q30" i="3"/>
  <c r="I37" i="3"/>
  <c r="R21" i="3"/>
  <c r="H24" i="3"/>
  <c r="K20" i="3"/>
  <c r="Q2" i="3"/>
  <c r="I28" i="3"/>
  <c r="P37" i="3"/>
  <c r="R13" i="3"/>
  <c r="P24" i="3"/>
  <c r="P11" i="3"/>
  <c r="H33" i="3"/>
  <c r="K29" i="3"/>
  <c r="K31" i="3"/>
  <c r="Q36" i="3"/>
  <c r="K36" i="3"/>
  <c r="R20" i="3"/>
  <c r="R19" i="3"/>
  <c r="H20" i="3"/>
  <c r="I24" i="3"/>
  <c r="P17" i="3"/>
  <c r="P12" i="3"/>
  <c r="K33" i="3"/>
  <c r="H37" i="3"/>
  <c r="I27" i="3"/>
  <c r="H27" i="3"/>
  <c r="P20" i="3"/>
  <c r="Q14" i="3"/>
  <c r="R31" i="3"/>
  <c r="Q35" i="3"/>
  <c r="R17" i="3"/>
  <c r="R16" i="3"/>
  <c r="P4" i="3"/>
  <c r="P6" i="3"/>
  <c r="K28" i="3"/>
  <c r="J33" i="3"/>
  <c r="J30" i="3"/>
  <c r="I36" i="3"/>
  <c r="R35" i="3"/>
  <c r="R4" i="3"/>
  <c r="R2" i="3"/>
  <c r="P19" i="3"/>
  <c r="Q28" i="3"/>
  <c r="R22" i="3"/>
  <c r="I30" i="3"/>
  <c r="R8" i="3"/>
  <c r="J31" i="3"/>
  <c r="H34" i="3"/>
  <c r="R14" i="3"/>
  <c r="Q15" i="3"/>
  <c r="I35" i="3"/>
  <c r="Q13" i="3"/>
  <c r="J35" i="3"/>
  <c r="K24" i="3"/>
  <c r="L35" i="3" l="1"/>
  <c r="L34" i="3"/>
  <c r="L37" i="3"/>
  <c r="L36" i="3"/>
  <c r="L28" i="3"/>
  <c r="L32" i="3"/>
  <c r="L29" i="3"/>
  <c r="L33" i="3"/>
  <c r="L31" i="3"/>
  <c r="L30" i="3"/>
  <c r="O18" i="3"/>
  <c r="O21" i="3"/>
  <c r="O13" i="3"/>
  <c r="O24" i="3"/>
  <c r="O20" i="3"/>
  <c r="O16" i="3"/>
  <c r="O12" i="3"/>
  <c r="O22" i="3"/>
  <c r="O14" i="3"/>
  <c r="O17" i="3"/>
  <c r="O23" i="3"/>
  <c r="O19" i="3"/>
  <c r="O15" i="3"/>
  <c r="O26" i="3"/>
  <c r="L25" i="3"/>
  <c r="L26" i="3"/>
  <c r="L27" i="3"/>
  <c r="O25" i="3"/>
  <c r="O27" i="3"/>
  <c r="N25" i="3"/>
  <c r="N26" i="3"/>
  <c r="N2" i="3"/>
  <c r="N18" i="3"/>
  <c r="N14" i="3"/>
  <c r="N10" i="3"/>
  <c r="N4" i="3"/>
  <c r="N17" i="3"/>
  <c r="N15" i="3"/>
  <c r="N13" i="3"/>
  <c r="N11" i="3"/>
  <c r="N9" i="3"/>
  <c r="N7" i="3"/>
  <c r="N5" i="3"/>
  <c r="N3" i="3"/>
  <c r="N16" i="3"/>
  <c r="N12" i="3"/>
  <c r="N8" i="3"/>
  <c r="N6" i="3"/>
  <c r="N23" i="3"/>
  <c r="N22" i="3"/>
  <c r="N21" i="3"/>
  <c r="N20" i="3"/>
  <c r="L20" i="3"/>
  <c r="L24" i="3"/>
  <c r="L23" i="3"/>
  <c r="L22" i="3"/>
  <c r="L21" i="3"/>
  <c r="L2" i="3"/>
  <c r="L16" i="3"/>
  <c r="L12" i="3"/>
  <c r="L8" i="3"/>
  <c r="L4" i="3"/>
  <c r="L18" i="3"/>
  <c r="L14" i="3"/>
  <c r="L10" i="3"/>
  <c r="L6" i="3"/>
  <c r="L19" i="3"/>
  <c r="L17" i="3"/>
  <c r="L15" i="3"/>
  <c r="L13" i="3"/>
  <c r="L11" i="3"/>
  <c r="L9" i="3"/>
  <c r="L7" i="3"/>
  <c r="L5" i="3"/>
  <c r="L3" i="3"/>
  <c r="N37" i="3"/>
  <c r="H15" i="3"/>
  <c r="I17" i="3"/>
  <c r="J5" i="3"/>
  <c r="H9" i="3"/>
  <c r="I16" i="3"/>
  <c r="N29" i="3"/>
  <c r="K4" i="3"/>
  <c r="J6" i="3"/>
  <c r="H14" i="3"/>
  <c r="K13" i="3"/>
  <c r="H11" i="3"/>
  <c r="I15" i="3"/>
  <c r="J3" i="3"/>
  <c r="J19" i="3"/>
  <c r="N34" i="3"/>
  <c r="K2" i="3"/>
  <c r="H3" i="3"/>
  <c r="H8" i="3"/>
  <c r="K3" i="3"/>
  <c r="K19" i="3"/>
  <c r="N30" i="3"/>
  <c r="I6" i="3"/>
  <c r="I5" i="3"/>
  <c r="K11" i="3"/>
  <c r="K16" i="3"/>
  <c r="N36" i="3"/>
  <c r="I3" i="3"/>
  <c r="H5" i="3"/>
  <c r="J9" i="3"/>
  <c r="I4" i="3"/>
  <c r="K9" i="3"/>
  <c r="N31" i="3"/>
  <c r="K10" i="3"/>
  <c r="J14" i="3"/>
  <c r="H18" i="3"/>
  <c r="N35" i="3"/>
  <c r="H19" i="3"/>
  <c r="I19" i="3"/>
  <c r="J7" i="3"/>
  <c r="I2" i="3"/>
  <c r="N28" i="3"/>
  <c r="K8" i="3"/>
  <c r="J10" i="3"/>
  <c r="H12" i="3"/>
  <c r="K7" i="3"/>
  <c r="K17" i="3"/>
  <c r="H17" i="3"/>
  <c r="J8" i="3"/>
  <c r="N19" i="3"/>
  <c r="H16" i="3"/>
  <c r="H13" i="3"/>
  <c r="K15" i="3"/>
  <c r="N33" i="3"/>
  <c r="I9" i="3"/>
  <c r="J12" i="3"/>
  <c r="J13" i="3"/>
  <c r="I14" i="3"/>
  <c r="J4" i="3"/>
  <c r="K14" i="3"/>
  <c r="H6" i="3"/>
  <c r="I7" i="3"/>
  <c r="J11" i="3"/>
  <c r="K12" i="3"/>
  <c r="I18" i="3"/>
  <c r="H7" i="3"/>
  <c r="N24" i="3"/>
  <c r="J2" i="3"/>
  <c r="I13" i="3"/>
  <c r="K6" i="3"/>
  <c r="J17" i="3"/>
  <c r="I12" i="3"/>
  <c r="N32" i="3"/>
  <c r="J16" i="3"/>
  <c r="K18" i="3"/>
  <c r="H10" i="3"/>
  <c r="K5" i="3"/>
  <c r="N27" i="3"/>
  <c r="I11" i="3"/>
  <c r="J18" i="3"/>
  <c r="J15" i="3"/>
  <c r="I10" i="3"/>
  <c r="H4" i="3"/>
</calcChain>
</file>

<file path=xl/sharedStrings.xml><?xml version="1.0" encoding="utf-8"?>
<sst xmlns="http://schemas.openxmlformats.org/spreadsheetml/2006/main" count="679" uniqueCount="92">
  <si>
    <t>AI</t>
  </si>
  <si>
    <t>DI</t>
  </si>
  <si>
    <t>AO</t>
  </si>
  <si>
    <t>DO</t>
  </si>
  <si>
    <t>DCS/ESD</t>
  </si>
  <si>
    <t>Standard PID</t>
  </si>
  <si>
    <t>Master PID</t>
  </si>
  <si>
    <t>Split range PID</t>
  </si>
  <si>
    <t>Tagname</t>
  </si>
  <si>
    <t>Loopname</t>
  </si>
  <si>
    <t>Type</t>
  </si>
  <si>
    <t>System</t>
  </si>
  <si>
    <t>TT-941001</t>
  </si>
  <si>
    <t>TI-941001</t>
  </si>
  <si>
    <t>PT-941001</t>
  </si>
  <si>
    <t>PC-941001</t>
  </si>
  <si>
    <t>PV-941001</t>
  </si>
  <si>
    <t>PSL-941001</t>
  </si>
  <si>
    <t>T-941001</t>
  </si>
  <si>
    <t>P-941001</t>
  </si>
  <si>
    <t>AIR</t>
  </si>
  <si>
    <t>-</t>
  </si>
  <si>
    <t>AOR</t>
  </si>
  <si>
    <t>DCS</t>
  </si>
  <si>
    <t>PT-941002</t>
  </si>
  <si>
    <t>PC-941002</t>
  </si>
  <si>
    <t>PV-941002A</t>
  </si>
  <si>
    <t>PV-941002B</t>
  </si>
  <si>
    <t>P-941002</t>
  </si>
  <si>
    <t>Destination</t>
  </si>
  <si>
    <t>FIELD</t>
  </si>
  <si>
    <t>C</t>
  </si>
  <si>
    <t>LOGIC</t>
  </si>
  <si>
    <t>ZSO-942001</t>
  </si>
  <si>
    <t>ZSC-942001</t>
  </si>
  <si>
    <t>XY-942001</t>
  </si>
  <si>
    <t>DOR</t>
  </si>
  <si>
    <t>Equipment</t>
  </si>
  <si>
    <t>XV-942001</t>
  </si>
  <si>
    <t>Z-942001</t>
  </si>
  <si>
    <t>X-942001</t>
  </si>
  <si>
    <t>Z-942002</t>
  </si>
  <si>
    <t>X-942002</t>
  </si>
  <si>
    <t>ZSC-942002</t>
  </si>
  <si>
    <t>XY-942002</t>
  </si>
  <si>
    <t>Z-942003</t>
  </si>
  <si>
    <t>X-942003</t>
  </si>
  <si>
    <t>ZSO-942003</t>
  </si>
  <si>
    <t>ESD</t>
  </si>
  <si>
    <t>XV-942002</t>
  </si>
  <si>
    <t>XV-942003</t>
  </si>
  <si>
    <t>ZSC-942003</t>
  </si>
  <si>
    <t>XY-942003</t>
  </si>
  <si>
    <t>ONOFF_VALVE/MOTOR</t>
  </si>
  <si>
    <t>ID Key</t>
  </si>
  <si>
    <t>XL-942100</t>
  </si>
  <si>
    <t>XLR-942100</t>
  </si>
  <si>
    <t>XS-942100A</t>
  </si>
  <si>
    <t>XS-942100B</t>
  </si>
  <si>
    <t>X-942100</t>
  </si>
  <si>
    <t>DIR</t>
  </si>
  <si>
    <t>XS-942100</t>
  </si>
  <si>
    <t>P-2100</t>
  </si>
  <si>
    <t>MCC</t>
  </si>
  <si>
    <t>XV_VALVE</t>
  </si>
  <si>
    <t>P-2101</t>
  </si>
  <si>
    <t>XL-942101</t>
  </si>
  <si>
    <t>XS-942101A</t>
  </si>
  <si>
    <t>X-942101</t>
  </si>
  <si>
    <t>PT-943100A</t>
  </si>
  <si>
    <t>PT-943100B</t>
  </si>
  <si>
    <t>PT-943100C</t>
  </si>
  <si>
    <t>PI-943100A</t>
  </si>
  <si>
    <t>PI-943100B</t>
  </si>
  <si>
    <t>PI-943100C</t>
  </si>
  <si>
    <t>P-943100</t>
  </si>
  <si>
    <t>P-943101</t>
  </si>
  <si>
    <t>PT-943101A</t>
  </si>
  <si>
    <t>PT-943101B</t>
  </si>
  <si>
    <t>PI-943101A</t>
  </si>
  <si>
    <t>PI-943101B</t>
  </si>
  <si>
    <t>DESCRIPTION</t>
  </si>
  <si>
    <t>TRAINING</t>
  </si>
  <si>
    <t>Identified Typical</t>
  </si>
  <si>
    <t>Confidency (the lowest the better)</t>
  </si>
  <si>
    <t>Identified Typical Description</t>
  </si>
  <si>
    <t>DCS ON/OFF Valve</t>
  </si>
  <si>
    <t>DCS Analog Input (Monitoring)</t>
  </si>
  <si>
    <t>ESD Analog Input</t>
  </si>
  <si>
    <t>ESD Analog Input 2oo3</t>
  </si>
  <si>
    <t>ESD Trip Digital Output</t>
  </si>
  <si>
    <t>DCS Motor / Pump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</si>
</sst>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textRotation="90"/>
    </xf>
    <xf numFmtId="0" fontId="1" fillId="0" borderId="0" xfId="0" applyFont="1" applyAlignment="1">
      <alignment horizontal="center" vertical="center" textRotation="90" wrapText="1"/>
    </xf>
    <xf numFmtId="0" fontId="1" fillId="3" borderId="1" xfId="0" applyFont="1" applyFill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2" borderId="1" xfId="0" applyFont="1" applyFill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F37"/>
  <sheetViews>
    <sheetView workbookViewId="0">
      <selection sqref="A1:F11"/>
    </sheetView>
  </sheetViews>
  <sheetFormatPr defaultRowHeight="15" x14ac:dyDescent="0.25"/>
  <cols>
    <col min="1" max="1" width="12.85546875" style="1" bestFit="1" customWidth="1"/>
    <col min="2" max="2" width="10" style="1" bestFit="1" customWidth="1"/>
    <col min="3" max="3" width="5.85546875" style="1" bestFit="1" customWidth="1"/>
    <col min="4" max="4" width="5.5703125" style="1" bestFit="1" customWidth="1"/>
    <col min="5" max="5" width="11.140625" style="1" bestFit="1" customWidth="1"/>
    <col min="6" max="6" width="6.85546875" style="1" bestFit="1" customWidth="1"/>
  </cols>
  <sheetData>
    <row r="1" spans="1:6" ht="69" customHeight="1" x14ac:dyDescent="0.25">
      <c r="A1" s="5" t="s">
        <v>8</v>
      </c>
      <c r="B1" s="5" t="s">
        <v>9</v>
      </c>
      <c r="C1" s="5" t="s">
        <v>10</v>
      </c>
      <c r="D1" s="5" t="s">
        <v>11</v>
      </c>
      <c r="E1" s="5" t="s">
        <v>37</v>
      </c>
      <c r="F1" s="5" t="s">
        <v>29</v>
      </c>
    </row>
    <row r="2" spans="1:6" x14ac:dyDescent="0.25">
      <c r="A2" s="7" t="s">
        <v>12</v>
      </c>
      <c r="B2" s="7" t="s">
        <v>18</v>
      </c>
      <c r="C2" s="7" t="s">
        <v>0</v>
      </c>
      <c r="D2" s="7" t="s">
        <v>23</v>
      </c>
      <c r="E2" s="7"/>
      <c r="F2" s="7" t="s">
        <v>30</v>
      </c>
    </row>
    <row r="3" spans="1:6" x14ac:dyDescent="0.25">
      <c r="A3" s="7" t="s">
        <v>13</v>
      </c>
      <c r="B3" s="7" t="s">
        <v>18</v>
      </c>
      <c r="C3" s="7" t="s">
        <v>21</v>
      </c>
      <c r="D3" s="7" t="s">
        <v>23</v>
      </c>
      <c r="E3" s="7"/>
      <c r="F3" s="7" t="s">
        <v>30</v>
      </c>
    </row>
    <row r="4" spans="1:6" x14ac:dyDescent="0.25">
      <c r="A4" s="7" t="s">
        <v>14</v>
      </c>
      <c r="B4" s="7" t="s">
        <v>19</v>
      </c>
      <c r="C4" s="7" t="s">
        <v>20</v>
      </c>
      <c r="D4" s="7" t="s">
        <v>23</v>
      </c>
      <c r="E4" s="7"/>
      <c r="F4" s="7" t="s">
        <v>30</v>
      </c>
    </row>
    <row r="5" spans="1:6" x14ac:dyDescent="0.25">
      <c r="A5" s="7" t="s">
        <v>15</v>
      </c>
      <c r="B5" s="7" t="s">
        <v>19</v>
      </c>
      <c r="C5" s="7" t="s">
        <v>21</v>
      </c>
      <c r="D5" s="7" t="s">
        <v>23</v>
      </c>
      <c r="E5" s="7"/>
      <c r="F5" s="7" t="s">
        <v>30</v>
      </c>
    </row>
    <row r="6" spans="1:6" x14ac:dyDescent="0.25">
      <c r="A6" s="7" t="s">
        <v>16</v>
      </c>
      <c r="B6" s="7" t="s">
        <v>19</v>
      </c>
      <c r="C6" s="7" t="s">
        <v>22</v>
      </c>
      <c r="D6" s="7" t="s">
        <v>23</v>
      </c>
      <c r="E6" s="7"/>
      <c r="F6" s="7" t="s">
        <v>30</v>
      </c>
    </row>
    <row r="7" spans="1:6" x14ac:dyDescent="0.25">
      <c r="A7" s="7" t="s">
        <v>17</v>
      </c>
      <c r="B7" s="7" t="s">
        <v>19</v>
      </c>
      <c r="C7" s="7" t="s">
        <v>1</v>
      </c>
      <c r="D7" s="7" t="s">
        <v>23</v>
      </c>
      <c r="E7" s="7"/>
      <c r="F7" s="7" t="s">
        <v>30</v>
      </c>
    </row>
    <row r="8" spans="1:6" x14ac:dyDescent="0.25">
      <c r="A8" s="7" t="s">
        <v>24</v>
      </c>
      <c r="B8" s="7" t="s">
        <v>28</v>
      </c>
      <c r="C8" s="7" t="s">
        <v>20</v>
      </c>
      <c r="D8" s="7" t="s">
        <v>23</v>
      </c>
      <c r="E8" s="7"/>
      <c r="F8" s="7" t="s">
        <v>30</v>
      </c>
    </row>
    <row r="9" spans="1:6" x14ac:dyDescent="0.25">
      <c r="A9" s="7" t="s">
        <v>25</v>
      </c>
      <c r="B9" s="7" t="s">
        <v>28</v>
      </c>
      <c r="C9" s="7" t="s">
        <v>21</v>
      </c>
      <c r="D9" s="7" t="s">
        <v>23</v>
      </c>
      <c r="E9" s="7"/>
      <c r="F9" s="7" t="s">
        <v>30</v>
      </c>
    </row>
    <row r="10" spans="1:6" x14ac:dyDescent="0.25">
      <c r="A10" s="7" t="s">
        <v>26</v>
      </c>
      <c r="B10" s="7" t="s">
        <v>28</v>
      </c>
      <c r="C10" s="7" t="s">
        <v>22</v>
      </c>
      <c r="D10" s="7" t="s">
        <v>23</v>
      </c>
      <c r="E10" s="7"/>
      <c r="F10" s="7" t="s">
        <v>30</v>
      </c>
    </row>
    <row r="11" spans="1:6" x14ac:dyDescent="0.25">
      <c r="A11" s="7" t="s">
        <v>27</v>
      </c>
      <c r="B11" s="7" t="s">
        <v>28</v>
      </c>
      <c r="C11" s="7" t="s">
        <v>22</v>
      </c>
      <c r="D11" s="7" t="s">
        <v>23</v>
      </c>
      <c r="E11" s="7"/>
      <c r="F11" s="7" t="s">
        <v>30</v>
      </c>
    </row>
    <row r="12" spans="1:6" x14ac:dyDescent="0.25">
      <c r="A12" s="7" t="s">
        <v>33</v>
      </c>
      <c r="B12" s="7" t="s">
        <v>39</v>
      </c>
      <c r="C12" s="7" t="s">
        <v>1</v>
      </c>
      <c r="D12" s="7" t="s">
        <v>23</v>
      </c>
      <c r="E12" s="7" t="s">
        <v>38</v>
      </c>
      <c r="F12" s="7" t="s">
        <v>30</v>
      </c>
    </row>
    <row r="13" spans="1:6" x14ac:dyDescent="0.25">
      <c r="A13" s="7" t="s">
        <v>34</v>
      </c>
      <c r="B13" s="7" t="s">
        <v>39</v>
      </c>
      <c r="C13" s="7" t="s">
        <v>1</v>
      </c>
      <c r="D13" s="7" t="s">
        <v>23</v>
      </c>
      <c r="E13" s="7" t="s">
        <v>38</v>
      </c>
      <c r="F13" s="7" t="s">
        <v>30</v>
      </c>
    </row>
    <row r="14" spans="1:6" x14ac:dyDescent="0.25">
      <c r="A14" s="7" t="s">
        <v>35</v>
      </c>
      <c r="B14" s="7" t="s">
        <v>40</v>
      </c>
      <c r="C14" s="7" t="s">
        <v>36</v>
      </c>
      <c r="D14" s="7" t="s">
        <v>23</v>
      </c>
      <c r="E14" s="7" t="s">
        <v>38</v>
      </c>
      <c r="F14" s="7" t="s">
        <v>30</v>
      </c>
    </row>
    <row r="15" spans="1:6" x14ac:dyDescent="0.25">
      <c r="A15" s="7" t="s">
        <v>43</v>
      </c>
      <c r="B15" s="7" t="s">
        <v>41</v>
      </c>
      <c r="C15" s="7" t="s">
        <v>1</v>
      </c>
      <c r="D15" s="7" t="s">
        <v>23</v>
      </c>
      <c r="E15" s="7" t="s">
        <v>49</v>
      </c>
      <c r="F15" s="7" t="s">
        <v>30</v>
      </c>
    </row>
    <row r="16" spans="1:6" x14ac:dyDescent="0.25">
      <c r="A16" s="7" t="s">
        <v>44</v>
      </c>
      <c r="B16" s="7" t="s">
        <v>42</v>
      </c>
      <c r="C16" s="7" t="s">
        <v>36</v>
      </c>
      <c r="D16" s="7" t="s">
        <v>23</v>
      </c>
      <c r="E16" s="7" t="s">
        <v>49</v>
      </c>
      <c r="F16" s="7" t="s">
        <v>30</v>
      </c>
    </row>
    <row r="17" spans="1:6" x14ac:dyDescent="0.25">
      <c r="A17" s="7" t="s">
        <v>47</v>
      </c>
      <c r="B17" s="7" t="s">
        <v>45</v>
      </c>
      <c r="C17" s="7" t="s">
        <v>1</v>
      </c>
      <c r="D17" s="7" t="s">
        <v>23</v>
      </c>
      <c r="E17" s="7" t="s">
        <v>50</v>
      </c>
      <c r="F17" s="7" t="s">
        <v>30</v>
      </c>
    </row>
    <row r="18" spans="1:6" x14ac:dyDescent="0.25">
      <c r="A18" s="7" t="s">
        <v>51</v>
      </c>
      <c r="B18" s="7" t="s">
        <v>45</v>
      </c>
      <c r="C18" s="7" t="s">
        <v>1</v>
      </c>
      <c r="D18" s="7" t="s">
        <v>23</v>
      </c>
      <c r="E18" s="7" t="s">
        <v>50</v>
      </c>
      <c r="F18" s="7" t="s">
        <v>30</v>
      </c>
    </row>
    <row r="19" spans="1:6" x14ac:dyDescent="0.25">
      <c r="A19" s="7" t="s">
        <v>52</v>
      </c>
      <c r="B19" s="7" t="s">
        <v>46</v>
      </c>
      <c r="C19" s="7" t="s">
        <v>36</v>
      </c>
      <c r="D19" s="7" t="s">
        <v>48</v>
      </c>
      <c r="E19" s="7" t="s">
        <v>50</v>
      </c>
      <c r="F19" s="7" t="s">
        <v>30</v>
      </c>
    </row>
    <row r="20" spans="1:6" x14ac:dyDescent="0.25">
      <c r="A20" s="7" t="s">
        <v>55</v>
      </c>
      <c r="B20" s="7" t="s">
        <v>59</v>
      </c>
      <c r="C20" s="7" t="s">
        <v>60</v>
      </c>
      <c r="D20" s="7" t="s">
        <v>23</v>
      </c>
      <c r="E20" s="7" t="s">
        <v>62</v>
      </c>
      <c r="F20" s="7" t="s">
        <v>63</v>
      </c>
    </row>
    <row r="21" spans="1:6" x14ac:dyDescent="0.25">
      <c r="A21" s="7" t="s">
        <v>56</v>
      </c>
      <c r="B21" s="7" t="s">
        <v>59</v>
      </c>
      <c r="C21" s="7" t="s">
        <v>60</v>
      </c>
      <c r="D21" s="7" t="s">
        <v>23</v>
      </c>
      <c r="E21" s="7" t="s">
        <v>62</v>
      </c>
      <c r="F21" s="7" t="s">
        <v>63</v>
      </c>
    </row>
    <row r="22" spans="1:6" x14ac:dyDescent="0.25">
      <c r="A22" s="7" t="s">
        <v>57</v>
      </c>
      <c r="B22" s="7" t="s">
        <v>59</v>
      </c>
      <c r="C22" s="7" t="s">
        <v>36</v>
      </c>
      <c r="D22" s="7" t="s">
        <v>23</v>
      </c>
      <c r="E22" s="7" t="s">
        <v>62</v>
      </c>
      <c r="F22" s="7" t="s">
        <v>63</v>
      </c>
    </row>
    <row r="23" spans="1:6" x14ac:dyDescent="0.25">
      <c r="A23" s="7" t="s">
        <v>58</v>
      </c>
      <c r="B23" s="7" t="s">
        <v>59</v>
      </c>
      <c r="C23" s="7" t="s">
        <v>36</v>
      </c>
      <c r="D23" s="7" t="s">
        <v>23</v>
      </c>
      <c r="E23" s="7" t="s">
        <v>62</v>
      </c>
      <c r="F23" s="7" t="s">
        <v>63</v>
      </c>
    </row>
    <row r="24" spans="1:6" x14ac:dyDescent="0.25">
      <c r="A24" s="7" t="s">
        <v>61</v>
      </c>
      <c r="B24" s="7" t="s">
        <v>59</v>
      </c>
      <c r="C24" s="7" t="s">
        <v>36</v>
      </c>
      <c r="D24" s="7" t="s">
        <v>48</v>
      </c>
      <c r="E24" s="7" t="s">
        <v>62</v>
      </c>
      <c r="F24" s="7" t="s">
        <v>63</v>
      </c>
    </row>
    <row r="25" spans="1:6" x14ac:dyDescent="0.25">
      <c r="A25" s="7" t="s">
        <v>66</v>
      </c>
      <c r="B25" s="7" t="s">
        <v>68</v>
      </c>
      <c r="C25" s="7" t="s">
        <v>60</v>
      </c>
      <c r="D25" s="7" t="s">
        <v>23</v>
      </c>
      <c r="E25" s="7" t="s">
        <v>65</v>
      </c>
      <c r="F25" s="7" t="s">
        <v>63</v>
      </c>
    </row>
    <row r="26" spans="1:6" x14ac:dyDescent="0.25">
      <c r="A26" s="7" t="s">
        <v>67</v>
      </c>
      <c r="B26" s="7" t="s">
        <v>68</v>
      </c>
      <c r="C26" s="7" t="s">
        <v>36</v>
      </c>
      <c r="D26" s="7" t="s">
        <v>23</v>
      </c>
      <c r="E26" s="7" t="s">
        <v>65</v>
      </c>
      <c r="F26" s="7" t="s">
        <v>63</v>
      </c>
    </row>
    <row r="27" spans="1:6" x14ac:dyDescent="0.25">
      <c r="A27" s="7" t="s">
        <v>67</v>
      </c>
      <c r="B27" s="7" t="s">
        <v>68</v>
      </c>
      <c r="C27" s="7" t="s">
        <v>36</v>
      </c>
      <c r="D27" s="7" t="s">
        <v>48</v>
      </c>
      <c r="E27" s="7" t="s">
        <v>65</v>
      </c>
      <c r="F27" s="7" t="s">
        <v>63</v>
      </c>
    </row>
    <row r="28" spans="1:6" x14ac:dyDescent="0.25">
      <c r="A28" s="7" t="s">
        <v>69</v>
      </c>
      <c r="B28" s="7" t="s">
        <v>75</v>
      </c>
      <c r="C28" s="7" t="s">
        <v>20</v>
      </c>
      <c r="D28" s="7" t="s">
        <v>48</v>
      </c>
      <c r="E28" s="7"/>
      <c r="F28" s="7" t="s">
        <v>30</v>
      </c>
    </row>
    <row r="29" spans="1:6" x14ac:dyDescent="0.25">
      <c r="A29" s="7" t="s">
        <v>70</v>
      </c>
      <c r="B29" s="7" t="s">
        <v>75</v>
      </c>
      <c r="C29" s="7" t="s">
        <v>20</v>
      </c>
      <c r="D29" s="7" t="s">
        <v>48</v>
      </c>
      <c r="E29" s="7"/>
      <c r="F29" s="7" t="s">
        <v>30</v>
      </c>
    </row>
    <row r="30" spans="1:6" x14ac:dyDescent="0.25">
      <c r="A30" s="7" t="s">
        <v>71</v>
      </c>
      <c r="B30" s="7" t="s">
        <v>75</v>
      </c>
      <c r="C30" s="7" t="s">
        <v>20</v>
      </c>
      <c r="D30" s="7" t="s">
        <v>48</v>
      </c>
      <c r="E30" s="7"/>
      <c r="F30" s="7" t="s">
        <v>30</v>
      </c>
    </row>
    <row r="31" spans="1:6" x14ac:dyDescent="0.25">
      <c r="A31" s="7" t="s">
        <v>72</v>
      </c>
      <c r="B31" s="7" t="s">
        <v>75</v>
      </c>
      <c r="C31" s="7" t="s">
        <v>21</v>
      </c>
      <c r="D31" s="7" t="s">
        <v>48</v>
      </c>
      <c r="E31" s="7"/>
      <c r="F31" s="7" t="s">
        <v>30</v>
      </c>
    </row>
    <row r="32" spans="1:6" x14ac:dyDescent="0.25">
      <c r="A32" s="7" t="s">
        <v>73</v>
      </c>
      <c r="B32" s="7" t="s">
        <v>75</v>
      </c>
      <c r="C32" s="7" t="s">
        <v>21</v>
      </c>
      <c r="D32" s="7" t="s">
        <v>48</v>
      </c>
      <c r="E32" s="7"/>
      <c r="F32" s="7" t="s">
        <v>30</v>
      </c>
    </row>
    <row r="33" spans="1:6" x14ac:dyDescent="0.25">
      <c r="A33" s="7" t="s">
        <v>74</v>
      </c>
      <c r="B33" s="7" t="s">
        <v>75</v>
      </c>
      <c r="C33" s="7" t="s">
        <v>21</v>
      </c>
      <c r="D33" s="7" t="s">
        <v>48</v>
      </c>
      <c r="E33" s="7"/>
      <c r="F33" s="7" t="s">
        <v>30</v>
      </c>
    </row>
    <row r="34" spans="1:6" x14ac:dyDescent="0.25">
      <c r="A34" s="7" t="s">
        <v>77</v>
      </c>
      <c r="B34" s="7" t="s">
        <v>76</v>
      </c>
      <c r="C34" s="7" t="s">
        <v>20</v>
      </c>
      <c r="D34" s="7" t="s">
        <v>48</v>
      </c>
      <c r="E34" s="7"/>
      <c r="F34" s="7" t="s">
        <v>30</v>
      </c>
    </row>
    <row r="35" spans="1:6" x14ac:dyDescent="0.25">
      <c r="A35" s="7" t="s">
        <v>78</v>
      </c>
      <c r="B35" s="7" t="s">
        <v>76</v>
      </c>
      <c r="C35" s="7" t="s">
        <v>20</v>
      </c>
      <c r="D35" s="7" t="s">
        <v>48</v>
      </c>
      <c r="E35" s="7"/>
      <c r="F35" s="7" t="s">
        <v>30</v>
      </c>
    </row>
    <row r="36" spans="1:6" x14ac:dyDescent="0.25">
      <c r="A36" s="7" t="s">
        <v>79</v>
      </c>
      <c r="B36" s="7" t="s">
        <v>76</v>
      </c>
      <c r="C36" s="7" t="s">
        <v>21</v>
      </c>
      <c r="D36" s="7" t="s">
        <v>48</v>
      </c>
      <c r="E36" s="7"/>
      <c r="F36" s="7" t="s">
        <v>30</v>
      </c>
    </row>
    <row r="37" spans="1:6" x14ac:dyDescent="0.25">
      <c r="A37" s="7" t="s">
        <v>80</v>
      </c>
      <c r="B37" s="7" t="s">
        <v>76</v>
      </c>
      <c r="C37" s="7" t="s">
        <v>21</v>
      </c>
      <c r="D37" s="7" t="s">
        <v>48</v>
      </c>
      <c r="E37" s="7"/>
      <c r="F37" s="7" t="s"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U37"/>
  <sheetViews>
    <sheetView tabSelected="1" workbookViewId="0">
      <selection activeCell="M5" sqref="M5"/>
    </sheetView>
  </sheetViews>
  <sheetFormatPr defaultColWidth="14.28515625" defaultRowHeight="14.25" x14ac:dyDescent="0.25"/>
  <cols>
    <col min="1" max="1" width="16.5703125" style="1" bestFit="1" customWidth="1"/>
    <col min="2" max="2" width="12.85546875" style="1" bestFit="1" customWidth="1"/>
    <col min="3" max="3" width="10" style="1" bestFit="1" customWidth="1"/>
    <col min="4" max="4" width="5.85546875" style="1" bestFit="1" customWidth="1"/>
    <col min="5" max="5" width="5.5703125" style="1" bestFit="1" customWidth="1"/>
    <col min="6" max="6" width="11.140625" style="1" bestFit="1" customWidth="1"/>
    <col min="7" max="7" width="6.85546875" style="1" bestFit="1" customWidth="1"/>
    <col min="8" max="18" width="5.85546875" style="1" customWidth="1"/>
    <col min="19" max="20" width="15.85546875" style="1" customWidth="1"/>
    <col min="21" max="21" width="29.42578125" style="1" bestFit="1" customWidth="1"/>
    <col min="22" max="16384" width="14.28515625" style="1"/>
  </cols>
  <sheetData>
    <row r="1" spans="1:21" s="3" customFormat="1" ht="93" customHeight="1" x14ac:dyDescent="0.25">
      <c r="A1" s="4" t="s">
        <v>54</v>
      </c>
      <c r="B1" s="5" t="s">
        <v>8</v>
      </c>
      <c r="C1" s="5" t="s">
        <v>9</v>
      </c>
      <c r="D1" s="5" t="s">
        <v>10</v>
      </c>
      <c r="E1" s="5" t="s">
        <v>11</v>
      </c>
      <c r="F1" s="5" t="s">
        <v>37</v>
      </c>
      <c r="G1" s="5" t="s">
        <v>29</v>
      </c>
      <c r="H1" s="6" t="s">
        <v>0</v>
      </c>
      <c r="I1" s="6" t="s">
        <v>1</v>
      </c>
      <c r="J1" s="6" t="s">
        <v>2</v>
      </c>
      <c r="K1" s="6" t="s">
        <v>3</v>
      </c>
      <c r="L1" s="6" t="s">
        <v>4</v>
      </c>
      <c r="M1" s="6" t="s">
        <v>31</v>
      </c>
      <c r="N1" s="6" t="s">
        <v>32</v>
      </c>
      <c r="O1" s="6" t="s">
        <v>53</v>
      </c>
      <c r="P1" s="4" t="s">
        <v>23</v>
      </c>
      <c r="Q1" s="4" t="s">
        <v>48</v>
      </c>
      <c r="R1" s="4" t="s">
        <v>64</v>
      </c>
      <c r="S1" s="5" t="s">
        <v>83</v>
      </c>
      <c r="T1" s="5" t="s">
        <v>84</v>
      </c>
      <c r="U1" s="5" t="s">
        <v>85</v>
      </c>
    </row>
    <row r="2" spans="1:21" x14ac:dyDescent="0.25">
      <c r="A2" s="7" t="str">
        <f>E2&amp;"-"&amp;IF(F2&lt;&gt;0,F2,C2)</f>
        <v>DCS-T-941001</v>
      </c>
      <c r="B2" s="7" t="s">
        <v>12</v>
      </c>
      <c r="C2" s="7" t="s">
        <v>18</v>
      </c>
      <c r="D2" s="7" t="s">
        <v>0</v>
      </c>
      <c r="E2" s="7" t="s">
        <v>23</v>
      </c>
      <c r="F2" s="7"/>
      <c r="G2" s="7" t="s">
        <v>30</v>
      </c>
      <c r="H2" s="7">
        <f t="shared" ref="H2:K21" si="0">PropertyTypeCount($A2,$A:$D,H$1)</f>
        <v>1</v>
      </c>
      <c r="I2" s="7">
        <f t="shared" si="0"/>
        <v>0</v>
      </c>
      <c r="J2" s="7">
        <f t="shared" si="0"/>
        <v>0</v>
      </c>
      <c r="K2" s="7">
        <f t="shared" si="0"/>
        <v>0</v>
      </c>
      <c r="L2" s="7">
        <f>IF(P2&gt;0,10,0)+IF(Q2&gt;0,50,0)</f>
        <v>10</v>
      </c>
      <c r="M2" s="7">
        <f t="shared" ref="M2:M37" si="1">(PropertyTypeCount(A2,A:B,"PC")+PropertyTypeCount(A2,A:B,"FC")+PropertyTypeCount(A2,A:B,"LC")+PropertyTypeCount(A2,A:B,"AC"))*50</f>
        <v>0</v>
      </c>
      <c r="N2" s="7">
        <f t="shared" ref="N2:N37" si="2">IF(Q2&gt;0,PropertyTypeCount(A2,A:D,"DO"),0)*50</f>
        <v>0</v>
      </c>
      <c r="O2" s="7">
        <f>IF(F2&lt;&gt;0,IF(R2&gt;0,10,50),0)</f>
        <v>0</v>
      </c>
      <c r="P2" s="7">
        <f t="shared" ref="P2:Q21" si="3">PropertyTypeCount($A2,$A:$E,P$1)</f>
        <v>2</v>
      </c>
      <c r="Q2" s="7">
        <f t="shared" si="3"/>
        <v>0</v>
      </c>
      <c r="R2" s="7">
        <f t="shared" ref="R2:R37" si="4">PropertyTypeCount(A2,A:F,"XV")</f>
        <v>0</v>
      </c>
      <c r="S2" s="7">
        <v>1</v>
      </c>
      <c r="T2" s="7">
        <v>0</v>
      </c>
      <c r="U2" s="7" t="str">
        <f>VLOOKUP(S2,'Training Typicals'!I:J,2,0)</f>
        <v>DCS Analog Input (Monitoring)</v>
      </c>
    </row>
    <row r="3" spans="1:21" x14ac:dyDescent="0.25">
      <c r="A3" s="7" t="str">
        <f t="shared" ref="A3:A24" si="5">E3&amp;"-"&amp;IF(F3&lt;&gt;0,F3,C3)</f>
        <v>DCS-T-941001</v>
      </c>
      <c r="B3" s="7" t="s">
        <v>13</v>
      </c>
      <c r="C3" s="7" t="s">
        <v>18</v>
      </c>
      <c r="D3" s="7" t="s">
        <v>21</v>
      </c>
      <c r="E3" s="7" t="s">
        <v>23</v>
      </c>
      <c r="F3" s="7"/>
      <c r="G3" s="7" t="s">
        <v>30</v>
      </c>
      <c r="H3" s="7">
        <f t="shared" si="0"/>
        <v>1</v>
      </c>
      <c r="I3" s="7">
        <f t="shared" si="0"/>
        <v>0</v>
      </c>
      <c r="J3" s="7">
        <f t="shared" si="0"/>
        <v>0</v>
      </c>
      <c r="K3" s="7">
        <f t="shared" si="0"/>
        <v>0</v>
      </c>
      <c r="L3" s="7">
        <f t="shared" ref="L3:L19" si="6">IF(P3&gt;0,10,0)+IF(Q3&gt;0,50,0)</f>
        <v>10</v>
      </c>
      <c r="M3" s="7">
        <f t="shared" si="1"/>
        <v>0</v>
      </c>
      <c r="N3" s="7">
        <f t="shared" si="2"/>
        <v>0</v>
      </c>
      <c r="O3" s="7">
        <f t="shared" ref="O3:O24" si="7">IF(F3&lt;&gt;0,IF(R3&gt;0,10,50),0)</f>
        <v>0</v>
      </c>
      <c r="P3" s="7">
        <f t="shared" si="3"/>
        <v>2</v>
      </c>
      <c r="Q3" s="7">
        <f t="shared" si="3"/>
        <v>0</v>
      </c>
      <c r="R3" s="7">
        <f t="shared" si="4"/>
        <v>0</v>
      </c>
      <c r="S3" s="7">
        <v>1</v>
      </c>
      <c r="T3" s="7">
        <v>0</v>
      </c>
      <c r="U3" s="7" t="str">
        <f>VLOOKUP(S3,'Training Typicals'!I:J,2,0)</f>
        <v>DCS Analog Input (Monitoring)</v>
      </c>
    </row>
    <row r="4" spans="1:21" x14ac:dyDescent="0.25">
      <c r="A4" s="7" t="str">
        <f t="shared" si="5"/>
        <v>DCS-P-941001</v>
      </c>
      <c r="B4" s="7" t="s">
        <v>14</v>
      </c>
      <c r="C4" s="7" t="s">
        <v>19</v>
      </c>
      <c r="D4" s="7" t="s">
        <v>20</v>
      </c>
      <c r="E4" s="7" t="s">
        <v>23</v>
      </c>
      <c r="F4" s="7"/>
      <c r="G4" s="7" t="s">
        <v>30</v>
      </c>
      <c r="H4" s="7">
        <f t="shared" si="0"/>
        <v>1</v>
      </c>
      <c r="I4" s="7">
        <f t="shared" si="0"/>
        <v>1</v>
      </c>
      <c r="J4" s="7">
        <f t="shared" si="0"/>
        <v>1</v>
      </c>
      <c r="K4" s="7">
        <f t="shared" si="0"/>
        <v>0</v>
      </c>
      <c r="L4" s="7">
        <f t="shared" si="6"/>
        <v>10</v>
      </c>
      <c r="M4" s="7">
        <f>(PropertyTypeCount(A4,A:B,"PC")+PropertyTypeCount(A4,A:B,"FC")+PropertyTypeCount(A4,A:B,"LC")+PropertyTypeCount(A4,A:B,"AC")++PropertyTypeCount(A4,A:B,"TC"))*50</f>
        <v>50</v>
      </c>
      <c r="N4" s="7">
        <f t="shared" si="2"/>
        <v>0</v>
      </c>
      <c r="O4" s="7">
        <f t="shared" si="7"/>
        <v>0</v>
      </c>
      <c r="P4" s="7">
        <f t="shared" si="3"/>
        <v>4</v>
      </c>
      <c r="Q4" s="7">
        <f t="shared" si="3"/>
        <v>0</v>
      </c>
      <c r="R4" s="7">
        <f t="shared" si="4"/>
        <v>0</v>
      </c>
      <c r="S4" s="7">
        <v>3</v>
      </c>
      <c r="T4" s="7">
        <v>1</v>
      </c>
      <c r="U4" s="7" t="str">
        <f>VLOOKUP(S4,'Training Typicals'!I:J,2,0)</f>
        <v>Standard PID</v>
      </c>
    </row>
    <row r="5" spans="1:21" x14ac:dyDescent="0.25">
      <c r="A5" s="7" t="str">
        <f t="shared" si="5"/>
        <v>DCS-P-941001</v>
      </c>
      <c r="B5" s="7" t="s">
        <v>15</v>
      </c>
      <c r="C5" s="7" t="s">
        <v>19</v>
      </c>
      <c r="D5" s="7" t="s">
        <v>21</v>
      </c>
      <c r="E5" s="7" t="s">
        <v>23</v>
      </c>
      <c r="F5" s="7"/>
      <c r="G5" s="7" t="s">
        <v>30</v>
      </c>
      <c r="H5" s="7">
        <f t="shared" si="0"/>
        <v>1</v>
      </c>
      <c r="I5" s="7">
        <f t="shared" si="0"/>
        <v>1</v>
      </c>
      <c r="J5" s="7">
        <f t="shared" si="0"/>
        <v>1</v>
      </c>
      <c r="K5" s="7">
        <f t="shared" si="0"/>
        <v>0</v>
      </c>
      <c r="L5" s="7">
        <f t="shared" si="6"/>
        <v>10</v>
      </c>
      <c r="M5" s="7">
        <f t="shared" si="1"/>
        <v>50</v>
      </c>
      <c r="N5" s="7">
        <f t="shared" si="2"/>
        <v>0</v>
      </c>
      <c r="O5" s="7">
        <f t="shared" si="7"/>
        <v>0</v>
      </c>
      <c r="P5" s="7">
        <f t="shared" si="3"/>
        <v>4</v>
      </c>
      <c r="Q5" s="7">
        <f t="shared" si="3"/>
        <v>0</v>
      </c>
      <c r="R5" s="7">
        <f t="shared" si="4"/>
        <v>0</v>
      </c>
      <c r="S5" s="7">
        <v>3</v>
      </c>
      <c r="T5" s="7">
        <v>1</v>
      </c>
      <c r="U5" s="7" t="str">
        <f>VLOOKUP(S5,'Training Typicals'!I:J,2,0)</f>
        <v>Standard PID</v>
      </c>
    </row>
    <row r="6" spans="1:21" x14ac:dyDescent="0.25">
      <c r="A6" s="7" t="str">
        <f t="shared" si="5"/>
        <v>DCS-P-941001</v>
      </c>
      <c r="B6" s="7" t="s">
        <v>16</v>
      </c>
      <c r="C6" s="7" t="s">
        <v>19</v>
      </c>
      <c r="D6" s="7" t="s">
        <v>22</v>
      </c>
      <c r="E6" s="7" t="s">
        <v>23</v>
      </c>
      <c r="F6" s="7"/>
      <c r="G6" s="7" t="s">
        <v>30</v>
      </c>
      <c r="H6" s="7">
        <f t="shared" si="0"/>
        <v>1</v>
      </c>
      <c r="I6" s="7">
        <f t="shared" si="0"/>
        <v>1</v>
      </c>
      <c r="J6" s="7">
        <f t="shared" si="0"/>
        <v>1</v>
      </c>
      <c r="K6" s="7">
        <f t="shared" si="0"/>
        <v>0</v>
      </c>
      <c r="L6" s="7">
        <f t="shared" si="6"/>
        <v>10</v>
      </c>
      <c r="M6" s="7">
        <f t="shared" si="1"/>
        <v>50</v>
      </c>
      <c r="N6" s="7">
        <f t="shared" si="2"/>
        <v>0</v>
      </c>
      <c r="O6" s="7">
        <f t="shared" si="7"/>
        <v>0</v>
      </c>
      <c r="P6" s="7">
        <f t="shared" si="3"/>
        <v>4</v>
      </c>
      <c r="Q6" s="7">
        <f t="shared" si="3"/>
        <v>0</v>
      </c>
      <c r="R6" s="7">
        <f t="shared" si="4"/>
        <v>0</v>
      </c>
      <c r="S6" s="7">
        <v>3</v>
      </c>
      <c r="T6" s="7">
        <v>1</v>
      </c>
      <c r="U6" s="7" t="str">
        <f>VLOOKUP(S6,'Training Typicals'!I:J,2,0)</f>
        <v>Standard PID</v>
      </c>
    </row>
    <row r="7" spans="1:21" x14ac:dyDescent="0.25">
      <c r="A7" s="7" t="str">
        <f t="shared" si="5"/>
        <v>DCS-P-941001</v>
      </c>
      <c r="B7" s="7" t="s">
        <v>17</v>
      </c>
      <c r="C7" s="7" t="s">
        <v>19</v>
      </c>
      <c r="D7" s="7" t="s">
        <v>1</v>
      </c>
      <c r="E7" s="7" t="s">
        <v>23</v>
      </c>
      <c r="F7" s="7"/>
      <c r="G7" s="7" t="s">
        <v>30</v>
      </c>
      <c r="H7" s="7">
        <f t="shared" si="0"/>
        <v>1</v>
      </c>
      <c r="I7" s="7">
        <f t="shared" si="0"/>
        <v>1</v>
      </c>
      <c r="J7" s="7">
        <f t="shared" si="0"/>
        <v>1</v>
      </c>
      <c r="K7" s="7">
        <f t="shared" si="0"/>
        <v>0</v>
      </c>
      <c r="L7" s="7">
        <f t="shared" si="6"/>
        <v>10</v>
      </c>
      <c r="M7" s="7">
        <f t="shared" si="1"/>
        <v>50</v>
      </c>
      <c r="N7" s="7">
        <f t="shared" si="2"/>
        <v>0</v>
      </c>
      <c r="O7" s="7">
        <f t="shared" si="7"/>
        <v>0</v>
      </c>
      <c r="P7" s="7">
        <f t="shared" si="3"/>
        <v>4</v>
      </c>
      <c r="Q7" s="7">
        <f t="shared" si="3"/>
        <v>0</v>
      </c>
      <c r="R7" s="7">
        <f t="shared" si="4"/>
        <v>0</v>
      </c>
      <c r="S7" s="7">
        <v>3</v>
      </c>
      <c r="T7" s="7">
        <v>1</v>
      </c>
      <c r="U7" s="7" t="str">
        <f>VLOOKUP(S7,'Training Typicals'!I:J,2,0)</f>
        <v>Standard PID</v>
      </c>
    </row>
    <row r="8" spans="1:21" x14ac:dyDescent="0.25">
      <c r="A8" s="7" t="str">
        <f t="shared" si="5"/>
        <v>DCS-P-941002</v>
      </c>
      <c r="B8" s="7" t="s">
        <v>24</v>
      </c>
      <c r="C8" s="7" t="s">
        <v>28</v>
      </c>
      <c r="D8" s="7" t="s">
        <v>20</v>
      </c>
      <c r="E8" s="7" t="s">
        <v>23</v>
      </c>
      <c r="F8" s="7"/>
      <c r="G8" s="7" t="s">
        <v>30</v>
      </c>
      <c r="H8" s="7">
        <f t="shared" si="0"/>
        <v>1</v>
      </c>
      <c r="I8" s="7">
        <f>PropertyTypeCount($A8,$A:$D,I$1)</f>
        <v>0</v>
      </c>
      <c r="J8" s="7">
        <f t="shared" si="0"/>
        <v>2</v>
      </c>
      <c r="K8" s="7">
        <f t="shared" si="0"/>
        <v>0</v>
      </c>
      <c r="L8" s="7">
        <f t="shared" si="6"/>
        <v>10</v>
      </c>
      <c r="M8" s="7">
        <f t="shared" si="1"/>
        <v>50</v>
      </c>
      <c r="N8" s="7">
        <f t="shared" si="2"/>
        <v>0</v>
      </c>
      <c r="O8" s="7">
        <f t="shared" si="7"/>
        <v>0</v>
      </c>
      <c r="P8" s="7">
        <f t="shared" si="3"/>
        <v>4</v>
      </c>
      <c r="Q8" s="7">
        <f t="shared" si="3"/>
        <v>0</v>
      </c>
      <c r="R8" s="7">
        <f t="shared" si="4"/>
        <v>0</v>
      </c>
      <c r="S8" s="7">
        <v>5</v>
      </c>
      <c r="T8" s="7">
        <v>0</v>
      </c>
      <c r="U8" s="7" t="str">
        <f>VLOOKUP(S8,'Training Typicals'!I:J,2,0)</f>
        <v>Split range PID</v>
      </c>
    </row>
    <row r="9" spans="1:21" x14ac:dyDescent="0.25">
      <c r="A9" s="7" t="str">
        <f t="shared" si="5"/>
        <v>DCS-P-941002</v>
      </c>
      <c r="B9" s="7" t="s">
        <v>25</v>
      </c>
      <c r="C9" s="7" t="s">
        <v>28</v>
      </c>
      <c r="D9" s="7" t="s">
        <v>21</v>
      </c>
      <c r="E9" s="7" t="s">
        <v>23</v>
      </c>
      <c r="F9" s="7"/>
      <c r="G9" s="7" t="s">
        <v>30</v>
      </c>
      <c r="H9" s="7">
        <f t="shared" si="0"/>
        <v>1</v>
      </c>
      <c r="I9" s="7">
        <f t="shared" si="0"/>
        <v>0</v>
      </c>
      <c r="J9" s="7">
        <f t="shared" si="0"/>
        <v>2</v>
      </c>
      <c r="K9" s="7">
        <f t="shared" si="0"/>
        <v>0</v>
      </c>
      <c r="L9" s="7">
        <f t="shared" si="6"/>
        <v>10</v>
      </c>
      <c r="M9" s="7">
        <f t="shared" si="1"/>
        <v>50</v>
      </c>
      <c r="N9" s="7">
        <f t="shared" si="2"/>
        <v>0</v>
      </c>
      <c r="O9" s="7">
        <f t="shared" si="7"/>
        <v>0</v>
      </c>
      <c r="P9" s="7">
        <f t="shared" si="3"/>
        <v>4</v>
      </c>
      <c r="Q9" s="7">
        <f t="shared" si="3"/>
        <v>0</v>
      </c>
      <c r="R9" s="7">
        <f t="shared" si="4"/>
        <v>0</v>
      </c>
      <c r="S9" s="7">
        <v>5</v>
      </c>
      <c r="T9" s="7">
        <v>0</v>
      </c>
      <c r="U9" s="7" t="str">
        <f>VLOOKUP(S9,'Training Typicals'!I:J,2,0)</f>
        <v>Split range PID</v>
      </c>
    </row>
    <row r="10" spans="1:21" x14ac:dyDescent="0.25">
      <c r="A10" s="7" t="str">
        <f t="shared" si="5"/>
        <v>DCS-P-941002</v>
      </c>
      <c r="B10" s="7" t="s">
        <v>26</v>
      </c>
      <c r="C10" s="7" t="s">
        <v>28</v>
      </c>
      <c r="D10" s="7" t="s">
        <v>22</v>
      </c>
      <c r="E10" s="7" t="s">
        <v>23</v>
      </c>
      <c r="F10" s="7"/>
      <c r="G10" s="7" t="s">
        <v>30</v>
      </c>
      <c r="H10" s="7">
        <f t="shared" si="0"/>
        <v>1</v>
      </c>
      <c r="I10" s="7">
        <f t="shared" si="0"/>
        <v>0</v>
      </c>
      <c r="J10" s="7">
        <f t="shared" si="0"/>
        <v>2</v>
      </c>
      <c r="K10" s="7">
        <f t="shared" si="0"/>
        <v>0</v>
      </c>
      <c r="L10" s="7">
        <f t="shared" si="6"/>
        <v>10</v>
      </c>
      <c r="M10" s="7">
        <f t="shared" si="1"/>
        <v>50</v>
      </c>
      <c r="N10" s="7">
        <f t="shared" si="2"/>
        <v>0</v>
      </c>
      <c r="O10" s="7">
        <f t="shared" si="7"/>
        <v>0</v>
      </c>
      <c r="P10" s="7">
        <f t="shared" si="3"/>
        <v>4</v>
      </c>
      <c r="Q10" s="7">
        <f t="shared" si="3"/>
        <v>0</v>
      </c>
      <c r="R10" s="7">
        <f t="shared" si="4"/>
        <v>0</v>
      </c>
      <c r="S10" s="7">
        <v>5</v>
      </c>
      <c r="T10" s="7">
        <v>0</v>
      </c>
      <c r="U10" s="7" t="str">
        <f>VLOOKUP(S10,'Training Typicals'!I:J,2,0)</f>
        <v>Split range PID</v>
      </c>
    </row>
    <row r="11" spans="1:21" x14ac:dyDescent="0.25">
      <c r="A11" s="7" t="str">
        <f t="shared" si="5"/>
        <v>DCS-P-941002</v>
      </c>
      <c r="B11" s="7" t="s">
        <v>27</v>
      </c>
      <c r="C11" s="7" t="s">
        <v>28</v>
      </c>
      <c r="D11" s="7" t="s">
        <v>22</v>
      </c>
      <c r="E11" s="7" t="s">
        <v>23</v>
      </c>
      <c r="F11" s="7"/>
      <c r="G11" s="7" t="s">
        <v>30</v>
      </c>
      <c r="H11" s="7">
        <f t="shared" si="0"/>
        <v>1</v>
      </c>
      <c r="I11" s="7">
        <f t="shared" si="0"/>
        <v>0</v>
      </c>
      <c r="J11" s="7">
        <f t="shared" si="0"/>
        <v>2</v>
      </c>
      <c r="K11" s="7">
        <f t="shared" si="0"/>
        <v>0</v>
      </c>
      <c r="L11" s="7">
        <f t="shared" si="6"/>
        <v>10</v>
      </c>
      <c r="M11" s="7">
        <f t="shared" si="1"/>
        <v>50</v>
      </c>
      <c r="N11" s="7">
        <f t="shared" si="2"/>
        <v>0</v>
      </c>
      <c r="O11" s="7">
        <f t="shared" si="7"/>
        <v>0</v>
      </c>
      <c r="P11" s="7">
        <f t="shared" si="3"/>
        <v>4</v>
      </c>
      <c r="Q11" s="7">
        <f t="shared" si="3"/>
        <v>0</v>
      </c>
      <c r="R11" s="7">
        <f t="shared" si="4"/>
        <v>0</v>
      </c>
      <c r="S11" s="7">
        <v>5</v>
      </c>
      <c r="T11" s="7">
        <v>0</v>
      </c>
      <c r="U11" s="7" t="str">
        <f>VLOOKUP(S11,'Training Typicals'!I:J,2,0)</f>
        <v>Split range PID</v>
      </c>
    </row>
    <row r="12" spans="1:21" x14ac:dyDescent="0.25">
      <c r="A12" s="7" t="str">
        <f t="shared" si="5"/>
        <v>DCS-XV-942001</v>
      </c>
      <c r="B12" s="7" t="s">
        <v>33</v>
      </c>
      <c r="C12" s="7" t="s">
        <v>39</v>
      </c>
      <c r="D12" s="7" t="s">
        <v>1</v>
      </c>
      <c r="E12" s="7" t="s">
        <v>23</v>
      </c>
      <c r="F12" s="7" t="s">
        <v>38</v>
      </c>
      <c r="G12" s="7" t="s">
        <v>30</v>
      </c>
      <c r="H12" s="7">
        <f t="shared" si="0"/>
        <v>0</v>
      </c>
      <c r="I12" s="7">
        <f t="shared" si="0"/>
        <v>2</v>
      </c>
      <c r="J12" s="7">
        <f t="shared" si="0"/>
        <v>0</v>
      </c>
      <c r="K12" s="7">
        <f t="shared" si="0"/>
        <v>1</v>
      </c>
      <c r="L12" s="7">
        <f t="shared" si="6"/>
        <v>10</v>
      </c>
      <c r="M12" s="7">
        <f t="shared" si="1"/>
        <v>0</v>
      </c>
      <c r="N12" s="7">
        <f t="shared" si="2"/>
        <v>0</v>
      </c>
      <c r="O12" s="7">
        <f t="shared" si="7"/>
        <v>10</v>
      </c>
      <c r="P12" s="7">
        <f t="shared" si="3"/>
        <v>3</v>
      </c>
      <c r="Q12" s="7">
        <f t="shared" si="3"/>
        <v>0</v>
      </c>
      <c r="R12" s="7">
        <f t="shared" si="4"/>
        <v>3</v>
      </c>
      <c r="S12" s="7">
        <v>9</v>
      </c>
      <c r="T12" s="7">
        <v>0</v>
      </c>
      <c r="U12" s="7" t="str">
        <f>VLOOKUP(S12,'Training Typicals'!I:J,2,0)</f>
        <v>DCS ON/OFF Valve</v>
      </c>
    </row>
    <row r="13" spans="1:21" x14ac:dyDescent="0.25">
      <c r="A13" s="7" t="str">
        <f t="shared" si="5"/>
        <v>DCS-XV-942001</v>
      </c>
      <c r="B13" s="7" t="s">
        <v>34</v>
      </c>
      <c r="C13" s="7" t="s">
        <v>39</v>
      </c>
      <c r="D13" s="7" t="s">
        <v>1</v>
      </c>
      <c r="E13" s="7" t="s">
        <v>23</v>
      </c>
      <c r="F13" s="7" t="s">
        <v>38</v>
      </c>
      <c r="G13" s="7" t="s">
        <v>30</v>
      </c>
      <c r="H13" s="7">
        <f t="shared" si="0"/>
        <v>0</v>
      </c>
      <c r="I13" s="7">
        <f t="shared" si="0"/>
        <v>2</v>
      </c>
      <c r="J13" s="7">
        <f t="shared" si="0"/>
        <v>0</v>
      </c>
      <c r="K13" s="7">
        <f t="shared" si="0"/>
        <v>1</v>
      </c>
      <c r="L13" s="7">
        <f t="shared" si="6"/>
        <v>10</v>
      </c>
      <c r="M13" s="7">
        <f t="shared" si="1"/>
        <v>0</v>
      </c>
      <c r="N13" s="7">
        <f t="shared" si="2"/>
        <v>0</v>
      </c>
      <c r="O13" s="7">
        <f t="shared" si="7"/>
        <v>10</v>
      </c>
      <c r="P13" s="7">
        <f t="shared" si="3"/>
        <v>3</v>
      </c>
      <c r="Q13" s="7">
        <f t="shared" si="3"/>
        <v>0</v>
      </c>
      <c r="R13" s="7">
        <f t="shared" si="4"/>
        <v>3</v>
      </c>
      <c r="S13" s="7">
        <v>9</v>
      </c>
      <c r="T13" s="7">
        <v>0</v>
      </c>
      <c r="U13" s="7" t="str">
        <f>VLOOKUP(S13,'Training Typicals'!I:J,2,0)</f>
        <v>DCS ON/OFF Valve</v>
      </c>
    </row>
    <row r="14" spans="1:21" x14ac:dyDescent="0.25">
      <c r="A14" s="7" t="str">
        <f t="shared" si="5"/>
        <v>DCS-XV-942001</v>
      </c>
      <c r="B14" s="7" t="s">
        <v>35</v>
      </c>
      <c r="C14" s="7" t="s">
        <v>40</v>
      </c>
      <c r="D14" s="7" t="s">
        <v>36</v>
      </c>
      <c r="E14" s="7" t="s">
        <v>23</v>
      </c>
      <c r="F14" s="7" t="s">
        <v>38</v>
      </c>
      <c r="G14" s="7" t="s">
        <v>30</v>
      </c>
      <c r="H14" s="7">
        <f t="shared" si="0"/>
        <v>0</v>
      </c>
      <c r="I14" s="7">
        <f t="shared" si="0"/>
        <v>2</v>
      </c>
      <c r="J14" s="7">
        <f t="shared" si="0"/>
        <v>0</v>
      </c>
      <c r="K14" s="7">
        <f t="shared" si="0"/>
        <v>1</v>
      </c>
      <c r="L14" s="7">
        <f t="shared" si="6"/>
        <v>10</v>
      </c>
      <c r="M14" s="7">
        <f t="shared" si="1"/>
        <v>0</v>
      </c>
      <c r="N14" s="7">
        <f t="shared" si="2"/>
        <v>0</v>
      </c>
      <c r="O14" s="7">
        <f t="shared" si="7"/>
        <v>10</v>
      </c>
      <c r="P14" s="7">
        <f t="shared" si="3"/>
        <v>3</v>
      </c>
      <c r="Q14" s="7">
        <f t="shared" si="3"/>
        <v>0</v>
      </c>
      <c r="R14" s="7">
        <f t="shared" si="4"/>
        <v>3</v>
      </c>
      <c r="S14" s="7">
        <v>9</v>
      </c>
      <c r="T14" s="7">
        <v>0</v>
      </c>
      <c r="U14" s="7" t="str">
        <f>VLOOKUP(S14,'Training Typicals'!I:J,2,0)</f>
        <v>DCS ON/OFF Valve</v>
      </c>
    </row>
    <row r="15" spans="1:21" x14ac:dyDescent="0.25">
      <c r="A15" s="7" t="str">
        <f t="shared" si="5"/>
        <v>DCS-XV-942002</v>
      </c>
      <c r="B15" s="7" t="s">
        <v>43</v>
      </c>
      <c r="C15" s="7" t="s">
        <v>41</v>
      </c>
      <c r="D15" s="7" t="s">
        <v>1</v>
      </c>
      <c r="E15" s="7" t="s">
        <v>23</v>
      </c>
      <c r="F15" s="7" t="s">
        <v>49</v>
      </c>
      <c r="G15" s="7" t="s">
        <v>30</v>
      </c>
      <c r="H15" s="7">
        <f t="shared" si="0"/>
        <v>0</v>
      </c>
      <c r="I15" s="7">
        <f t="shared" si="0"/>
        <v>1</v>
      </c>
      <c r="J15" s="7">
        <f t="shared" si="0"/>
        <v>0</v>
      </c>
      <c r="K15" s="7">
        <f t="shared" si="0"/>
        <v>1</v>
      </c>
      <c r="L15" s="7">
        <f t="shared" si="6"/>
        <v>10</v>
      </c>
      <c r="M15" s="7">
        <f t="shared" si="1"/>
        <v>0</v>
      </c>
      <c r="N15" s="7">
        <f t="shared" si="2"/>
        <v>0</v>
      </c>
      <c r="O15" s="7">
        <f t="shared" si="7"/>
        <v>10</v>
      </c>
      <c r="P15" s="7">
        <f t="shared" si="3"/>
        <v>2</v>
      </c>
      <c r="Q15" s="7">
        <f t="shared" si="3"/>
        <v>0</v>
      </c>
      <c r="R15" s="7">
        <f t="shared" si="4"/>
        <v>2</v>
      </c>
      <c r="S15" s="7">
        <v>9</v>
      </c>
      <c r="T15" s="7">
        <v>1</v>
      </c>
      <c r="U15" s="7" t="str">
        <f>VLOOKUP(S15,'Training Typicals'!I:J,2,0)</f>
        <v>DCS ON/OFF Valve</v>
      </c>
    </row>
    <row r="16" spans="1:21" x14ac:dyDescent="0.25">
      <c r="A16" s="7" t="str">
        <f t="shared" si="5"/>
        <v>DCS-XV-942002</v>
      </c>
      <c r="B16" s="7" t="s">
        <v>44</v>
      </c>
      <c r="C16" s="7" t="s">
        <v>42</v>
      </c>
      <c r="D16" s="7" t="s">
        <v>36</v>
      </c>
      <c r="E16" s="7" t="s">
        <v>23</v>
      </c>
      <c r="F16" s="7" t="s">
        <v>49</v>
      </c>
      <c r="G16" s="7" t="s">
        <v>30</v>
      </c>
      <c r="H16" s="7">
        <f t="shared" si="0"/>
        <v>0</v>
      </c>
      <c r="I16" s="7">
        <f t="shared" si="0"/>
        <v>1</v>
      </c>
      <c r="J16" s="7">
        <f t="shared" si="0"/>
        <v>0</v>
      </c>
      <c r="K16" s="7">
        <f t="shared" si="0"/>
        <v>1</v>
      </c>
      <c r="L16" s="7">
        <f t="shared" si="6"/>
        <v>10</v>
      </c>
      <c r="M16" s="7">
        <f t="shared" si="1"/>
        <v>0</v>
      </c>
      <c r="N16" s="7">
        <f t="shared" si="2"/>
        <v>0</v>
      </c>
      <c r="O16" s="7">
        <f t="shared" si="7"/>
        <v>10</v>
      </c>
      <c r="P16" s="7">
        <f t="shared" si="3"/>
        <v>2</v>
      </c>
      <c r="Q16" s="7">
        <f t="shared" si="3"/>
        <v>0</v>
      </c>
      <c r="R16" s="7">
        <f t="shared" si="4"/>
        <v>2</v>
      </c>
      <c r="S16" s="7">
        <v>9</v>
      </c>
      <c r="T16" s="7">
        <v>1</v>
      </c>
      <c r="U16" s="7" t="str">
        <f>VLOOKUP(S16,'Training Typicals'!I:J,2,0)</f>
        <v>DCS ON/OFF Valve</v>
      </c>
    </row>
    <row r="17" spans="1:21" x14ac:dyDescent="0.25">
      <c r="A17" s="7" t="str">
        <f t="shared" si="5"/>
        <v>DCS-XV-942003</v>
      </c>
      <c r="B17" s="7" t="s">
        <v>47</v>
      </c>
      <c r="C17" s="7" t="s">
        <v>45</v>
      </c>
      <c r="D17" s="7" t="s">
        <v>1</v>
      </c>
      <c r="E17" s="7" t="s">
        <v>23</v>
      </c>
      <c r="F17" s="7" t="s">
        <v>50</v>
      </c>
      <c r="G17" s="7" t="s">
        <v>30</v>
      </c>
      <c r="H17" s="7">
        <f t="shared" si="0"/>
        <v>0</v>
      </c>
      <c r="I17" s="7">
        <f t="shared" si="0"/>
        <v>2</v>
      </c>
      <c r="J17" s="7">
        <f t="shared" si="0"/>
        <v>0</v>
      </c>
      <c r="K17" s="7">
        <f t="shared" si="0"/>
        <v>0</v>
      </c>
      <c r="L17" s="7">
        <f t="shared" si="6"/>
        <v>10</v>
      </c>
      <c r="M17" s="7">
        <f t="shared" si="1"/>
        <v>0</v>
      </c>
      <c r="N17" s="7">
        <f t="shared" si="2"/>
        <v>0</v>
      </c>
      <c r="O17" s="7">
        <f t="shared" si="7"/>
        <v>10</v>
      </c>
      <c r="P17" s="7">
        <f t="shared" si="3"/>
        <v>2</v>
      </c>
      <c r="Q17" s="7">
        <f t="shared" si="3"/>
        <v>0</v>
      </c>
      <c r="R17" s="7">
        <f t="shared" si="4"/>
        <v>2</v>
      </c>
      <c r="S17" s="7">
        <v>9</v>
      </c>
      <c r="T17" s="7">
        <v>1</v>
      </c>
      <c r="U17" s="7" t="str">
        <f>VLOOKUP(S17,'Training Typicals'!I:J,2,0)</f>
        <v>DCS ON/OFF Valve</v>
      </c>
    </row>
    <row r="18" spans="1:21" x14ac:dyDescent="0.25">
      <c r="A18" s="7" t="str">
        <f t="shared" si="5"/>
        <v>DCS-XV-942003</v>
      </c>
      <c r="B18" s="7" t="s">
        <v>51</v>
      </c>
      <c r="C18" s="7" t="s">
        <v>45</v>
      </c>
      <c r="D18" s="7" t="s">
        <v>1</v>
      </c>
      <c r="E18" s="7" t="s">
        <v>23</v>
      </c>
      <c r="F18" s="7" t="s">
        <v>50</v>
      </c>
      <c r="G18" s="7" t="s">
        <v>30</v>
      </c>
      <c r="H18" s="7">
        <f t="shared" si="0"/>
        <v>0</v>
      </c>
      <c r="I18" s="7">
        <f t="shared" si="0"/>
        <v>2</v>
      </c>
      <c r="J18" s="7">
        <f t="shared" si="0"/>
        <v>0</v>
      </c>
      <c r="K18" s="7">
        <f t="shared" si="0"/>
        <v>0</v>
      </c>
      <c r="L18" s="7">
        <f t="shared" si="6"/>
        <v>10</v>
      </c>
      <c r="M18" s="7">
        <f t="shared" si="1"/>
        <v>0</v>
      </c>
      <c r="N18" s="7">
        <f t="shared" si="2"/>
        <v>0</v>
      </c>
      <c r="O18" s="7">
        <f t="shared" si="7"/>
        <v>10</v>
      </c>
      <c r="P18" s="7">
        <f t="shared" si="3"/>
        <v>2</v>
      </c>
      <c r="Q18" s="7">
        <f t="shared" si="3"/>
        <v>0</v>
      </c>
      <c r="R18" s="7">
        <f t="shared" si="4"/>
        <v>2</v>
      </c>
      <c r="S18" s="7">
        <v>9</v>
      </c>
      <c r="T18" s="7">
        <v>1</v>
      </c>
      <c r="U18" s="7" t="str">
        <f>VLOOKUP(S18,'Training Typicals'!I:J,2,0)</f>
        <v>DCS ON/OFF Valve</v>
      </c>
    </row>
    <row r="19" spans="1:21" x14ac:dyDescent="0.25">
      <c r="A19" s="7" t="str">
        <f t="shared" si="5"/>
        <v>ESD-XV-942003</v>
      </c>
      <c r="B19" s="7" t="s">
        <v>52</v>
      </c>
      <c r="C19" s="7" t="s">
        <v>46</v>
      </c>
      <c r="D19" s="7" t="s">
        <v>36</v>
      </c>
      <c r="E19" s="7" t="s">
        <v>48</v>
      </c>
      <c r="F19" s="7" t="s">
        <v>50</v>
      </c>
      <c r="G19" s="7" t="s">
        <v>30</v>
      </c>
      <c r="H19" s="7">
        <f t="shared" si="0"/>
        <v>0</v>
      </c>
      <c r="I19" s="7">
        <f t="shared" si="0"/>
        <v>0</v>
      </c>
      <c r="J19" s="7">
        <f t="shared" si="0"/>
        <v>0</v>
      </c>
      <c r="K19" s="7">
        <f t="shared" si="0"/>
        <v>1</v>
      </c>
      <c r="L19" s="7">
        <f t="shared" si="6"/>
        <v>50</v>
      </c>
      <c r="M19" s="7">
        <f t="shared" si="1"/>
        <v>0</v>
      </c>
      <c r="N19" s="7">
        <f t="shared" si="2"/>
        <v>50</v>
      </c>
      <c r="O19" s="7">
        <f t="shared" si="7"/>
        <v>10</v>
      </c>
      <c r="P19" s="7">
        <f t="shared" si="3"/>
        <v>0</v>
      </c>
      <c r="Q19" s="7">
        <f t="shared" si="3"/>
        <v>1</v>
      </c>
      <c r="R19" s="7">
        <f t="shared" si="4"/>
        <v>1</v>
      </c>
      <c r="S19" s="7">
        <v>8</v>
      </c>
      <c r="T19" s="7">
        <v>10</v>
      </c>
      <c r="U19" s="7" t="str">
        <f>VLOOKUP(S19,'Training Typicals'!I:J,2,0)</f>
        <v>ESD Trip Digital Output</v>
      </c>
    </row>
    <row r="20" spans="1:21" x14ac:dyDescent="0.25">
      <c r="A20" s="7" t="str">
        <f t="shared" si="5"/>
        <v>DCS-P-2100</v>
      </c>
      <c r="B20" s="7" t="s">
        <v>55</v>
      </c>
      <c r="C20" s="7" t="s">
        <v>59</v>
      </c>
      <c r="D20" s="7" t="s">
        <v>60</v>
      </c>
      <c r="E20" s="7" t="s">
        <v>23</v>
      </c>
      <c r="F20" s="7" t="s">
        <v>62</v>
      </c>
      <c r="G20" s="7" t="s">
        <v>63</v>
      </c>
      <c r="H20" s="7">
        <f t="shared" si="0"/>
        <v>0</v>
      </c>
      <c r="I20" s="7">
        <f t="shared" si="0"/>
        <v>2</v>
      </c>
      <c r="J20" s="7">
        <f t="shared" si="0"/>
        <v>0</v>
      </c>
      <c r="K20" s="7">
        <f t="shared" si="0"/>
        <v>2</v>
      </c>
      <c r="L20" s="7">
        <f t="shared" ref="L20:L24" si="8">IF(P20&gt;0,10,0)+IF(Q20&gt;0,50,0)</f>
        <v>10</v>
      </c>
      <c r="M20" s="7">
        <f t="shared" si="1"/>
        <v>0</v>
      </c>
      <c r="N20" s="7">
        <f t="shared" si="2"/>
        <v>0</v>
      </c>
      <c r="O20" s="7">
        <f t="shared" si="7"/>
        <v>50</v>
      </c>
      <c r="P20" s="7">
        <f t="shared" si="3"/>
        <v>4</v>
      </c>
      <c r="Q20" s="7">
        <f t="shared" si="3"/>
        <v>0</v>
      </c>
      <c r="R20" s="7">
        <f t="shared" si="4"/>
        <v>0</v>
      </c>
      <c r="S20" s="7">
        <v>10</v>
      </c>
      <c r="T20" s="7">
        <v>0</v>
      </c>
      <c r="U20" s="7" t="str">
        <f>VLOOKUP(S20,'Training Typicals'!I:J,2,0)</f>
        <v>DCS Motor / Pump</v>
      </c>
    </row>
    <row r="21" spans="1:21" x14ac:dyDescent="0.25">
      <c r="A21" s="7" t="str">
        <f t="shared" si="5"/>
        <v>DCS-P-2100</v>
      </c>
      <c r="B21" s="7" t="s">
        <v>56</v>
      </c>
      <c r="C21" s="7" t="s">
        <v>59</v>
      </c>
      <c r="D21" s="7" t="s">
        <v>60</v>
      </c>
      <c r="E21" s="7" t="s">
        <v>23</v>
      </c>
      <c r="F21" s="7" t="s">
        <v>62</v>
      </c>
      <c r="G21" s="7" t="s">
        <v>63</v>
      </c>
      <c r="H21" s="7">
        <f t="shared" si="0"/>
        <v>0</v>
      </c>
      <c r="I21" s="7">
        <f t="shared" si="0"/>
        <v>2</v>
      </c>
      <c r="J21" s="7">
        <f t="shared" si="0"/>
        <v>0</v>
      </c>
      <c r="K21" s="7">
        <f t="shared" si="0"/>
        <v>2</v>
      </c>
      <c r="L21" s="7">
        <f t="shared" si="8"/>
        <v>10</v>
      </c>
      <c r="M21" s="7">
        <f t="shared" si="1"/>
        <v>0</v>
      </c>
      <c r="N21" s="7">
        <f t="shared" si="2"/>
        <v>0</v>
      </c>
      <c r="O21" s="7">
        <f t="shared" si="7"/>
        <v>50</v>
      </c>
      <c r="P21" s="7">
        <f t="shared" si="3"/>
        <v>4</v>
      </c>
      <c r="Q21" s="7">
        <f t="shared" si="3"/>
        <v>0</v>
      </c>
      <c r="R21" s="7">
        <f t="shared" si="4"/>
        <v>0</v>
      </c>
      <c r="S21" s="7">
        <v>10</v>
      </c>
      <c r="T21" s="7">
        <v>0</v>
      </c>
      <c r="U21" s="7" t="str">
        <f>VLOOKUP(S21,'Training Typicals'!I:J,2,0)</f>
        <v>DCS Motor / Pump</v>
      </c>
    </row>
    <row r="22" spans="1:21" x14ac:dyDescent="0.25">
      <c r="A22" s="7" t="str">
        <f t="shared" si="5"/>
        <v>DCS-P-2100</v>
      </c>
      <c r="B22" s="7" t="s">
        <v>57</v>
      </c>
      <c r="C22" s="7" t="s">
        <v>59</v>
      </c>
      <c r="D22" s="7" t="s">
        <v>36</v>
      </c>
      <c r="E22" s="7" t="s">
        <v>23</v>
      </c>
      <c r="F22" s="7" t="s">
        <v>62</v>
      </c>
      <c r="G22" s="7" t="s">
        <v>63</v>
      </c>
      <c r="H22" s="7">
        <f t="shared" ref="H22:K37" si="9">PropertyTypeCount($A22,$A:$D,H$1)</f>
        <v>0</v>
      </c>
      <c r="I22" s="7">
        <f t="shared" si="9"/>
        <v>2</v>
      </c>
      <c r="J22" s="7">
        <f t="shared" si="9"/>
        <v>0</v>
      </c>
      <c r="K22" s="7">
        <f t="shared" si="9"/>
        <v>2</v>
      </c>
      <c r="L22" s="7">
        <f t="shared" si="8"/>
        <v>10</v>
      </c>
      <c r="M22" s="7">
        <f t="shared" si="1"/>
        <v>0</v>
      </c>
      <c r="N22" s="7">
        <f t="shared" si="2"/>
        <v>0</v>
      </c>
      <c r="O22" s="7">
        <f t="shared" si="7"/>
        <v>50</v>
      </c>
      <c r="P22" s="7">
        <f t="shared" ref="P22:Q37" si="10">PropertyTypeCount($A22,$A:$E,P$1)</f>
        <v>4</v>
      </c>
      <c r="Q22" s="7">
        <f t="shared" si="10"/>
        <v>0</v>
      </c>
      <c r="R22" s="7">
        <f t="shared" si="4"/>
        <v>0</v>
      </c>
      <c r="S22" s="7">
        <v>10</v>
      </c>
      <c r="T22" s="7">
        <v>0</v>
      </c>
      <c r="U22" s="7" t="str">
        <f>VLOOKUP(S22,'Training Typicals'!I:J,2,0)</f>
        <v>DCS Motor / Pump</v>
      </c>
    </row>
    <row r="23" spans="1:21" x14ac:dyDescent="0.25">
      <c r="A23" s="7" t="str">
        <f t="shared" si="5"/>
        <v>DCS-P-2100</v>
      </c>
      <c r="B23" s="7" t="s">
        <v>58</v>
      </c>
      <c r="C23" s="7" t="s">
        <v>59</v>
      </c>
      <c r="D23" s="7" t="s">
        <v>36</v>
      </c>
      <c r="E23" s="7" t="s">
        <v>23</v>
      </c>
      <c r="F23" s="7" t="s">
        <v>62</v>
      </c>
      <c r="G23" s="7" t="s">
        <v>63</v>
      </c>
      <c r="H23" s="7">
        <f t="shared" si="9"/>
        <v>0</v>
      </c>
      <c r="I23" s="7">
        <f t="shared" si="9"/>
        <v>2</v>
      </c>
      <c r="J23" s="7">
        <f t="shared" si="9"/>
        <v>0</v>
      </c>
      <c r="K23" s="7">
        <f t="shared" si="9"/>
        <v>2</v>
      </c>
      <c r="L23" s="7">
        <f t="shared" si="8"/>
        <v>10</v>
      </c>
      <c r="M23" s="7">
        <f t="shared" si="1"/>
        <v>0</v>
      </c>
      <c r="N23" s="7">
        <f t="shared" si="2"/>
        <v>0</v>
      </c>
      <c r="O23" s="7">
        <f t="shared" si="7"/>
        <v>50</v>
      </c>
      <c r="P23" s="7">
        <f t="shared" si="10"/>
        <v>4</v>
      </c>
      <c r="Q23" s="7">
        <f t="shared" si="10"/>
        <v>0</v>
      </c>
      <c r="R23" s="7">
        <f t="shared" si="4"/>
        <v>0</v>
      </c>
      <c r="S23" s="7">
        <v>10</v>
      </c>
      <c r="T23" s="7">
        <v>0</v>
      </c>
      <c r="U23" s="7" t="str">
        <f>VLOOKUP(S23,'Training Typicals'!I:J,2,0)</f>
        <v>DCS Motor / Pump</v>
      </c>
    </row>
    <row r="24" spans="1:21" x14ac:dyDescent="0.25">
      <c r="A24" s="7" t="str">
        <f t="shared" si="5"/>
        <v>ESD-P-2100</v>
      </c>
      <c r="B24" s="7" t="s">
        <v>61</v>
      </c>
      <c r="C24" s="7" t="s">
        <v>59</v>
      </c>
      <c r="D24" s="7" t="s">
        <v>36</v>
      </c>
      <c r="E24" s="7" t="s">
        <v>48</v>
      </c>
      <c r="F24" s="7" t="s">
        <v>62</v>
      </c>
      <c r="G24" s="7" t="s">
        <v>63</v>
      </c>
      <c r="H24" s="7">
        <f t="shared" si="9"/>
        <v>0</v>
      </c>
      <c r="I24" s="7">
        <f t="shared" si="9"/>
        <v>0</v>
      </c>
      <c r="J24" s="7">
        <f t="shared" si="9"/>
        <v>0</v>
      </c>
      <c r="K24" s="7">
        <f t="shared" si="9"/>
        <v>1</v>
      </c>
      <c r="L24" s="7">
        <f t="shared" si="8"/>
        <v>50</v>
      </c>
      <c r="M24" s="7">
        <f t="shared" si="1"/>
        <v>0</v>
      </c>
      <c r="N24" s="7">
        <f t="shared" si="2"/>
        <v>50</v>
      </c>
      <c r="O24" s="7">
        <f t="shared" si="7"/>
        <v>50</v>
      </c>
      <c r="P24" s="7">
        <f t="shared" si="10"/>
        <v>0</v>
      </c>
      <c r="Q24" s="7">
        <f t="shared" si="10"/>
        <v>1</v>
      </c>
      <c r="R24" s="7">
        <f t="shared" si="4"/>
        <v>0</v>
      </c>
      <c r="S24" s="7">
        <v>8</v>
      </c>
      <c r="T24" s="7">
        <v>50</v>
      </c>
      <c r="U24" s="7" t="str">
        <f>VLOOKUP(S24,'Training Typicals'!I:J,2,0)</f>
        <v>ESD Trip Digital Output</v>
      </c>
    </row>
    <row r="25" spans="1:21" x14ac:dyDescent="0.25">
      <c r="A25" s="7" t="str">
        <f t="shared" ref="A25:A33" si="11">E25&amp;"-"&amp;IF(F25&lt;&gt;0,F25,C25)</f>
        <v>DCS-P-2101</v>
      </c>
      <c r="B25" s="7" t="s">
        <v>66</v>
      </c>
      <c r="C25" s="7" t="s">
        <v>68</v>
      </c>
      <c r="D25" s="7" t="s">
        <v>60</v>
      </c>
      <c r="E25" s="7" t="s">
        <v>23</v>
      </c>
      <c r="F25" s="7" t="s">
        <v>65</v>
      </c>
      <c r="G25" s="7" t="s">
        <v>63</v>
      </c>
      <c r="H25" s="7">
        <f t="shared" si="9"/>
        <v>0</v>
      </c>
      <c r="I25" s="7">
        <f t="shared" si="9"/>
        <v>1</v>
      </c>
      <c r="J25" s="7">
        <f t="shared" si="9"/>
        <v>0</v>
      </c>
      <c r="K25" s="7">
        <f t="shared" si="9"/>
        <v>1</v>
      </c>
      <c r="L25" s="7">
        <f t="shared" ref="L25:L27" si="12">IF(P25&gt;0,10,0)+IF(Q25&gt;0,50,0)</f>
        <v>10</v>
      </c>
      <c r="M25" s="7">
        <f t="shared" si="1"/>
        <v>0</v>
      </c>
      <c r="N25" s="7">
        <f t="shared" si="2"/>
        <v>0</v>
      </c>
      <c r="O25" s="7">
        <f t="shared" ref="O25:O27" si="13">IF(F25&lt;&gt;0,IF(R25&gt;0,10,50),0)</f>
        <v>50</v>
      </c>
      <c r="P25" s="7">
        <f t="shared" si="10"/>
        <v>2</v>
      </c>
      <c r="Q25" s="7">
        <f t="shared" si="10"/>
        <v>0</v>
      </c>
      <c r="R25" s="7">
        <f t="shared" si="4"/>
        <v>0</v>
      </c>
      <c r="S25" s="7">
        <v>10</v>
      </c>
      <c r="T25" s="7">
        <v>1.41421</v>
      </c>
      <c r="U25" s="7" t="str">
        <f>VLOOKUP(S25,'Training Typicals'!I:J,2,0)</f>
        <v>DCS Motor / Pump</v>
      </c>
    </row>
    <row r="26" spans="1:21" x14ac:dyDescent="0.25">
      <c r="A26" s="7" t="str">
        <f t="shared" si="11"/>
        <v>DCS-P-2101</v>
      </c>
      <c r="B26" s="7" t="s">
        <v>67</v>
      </c>
      <c r="C26" s="7" t="s">
        <v>68</v>
      </c>
      <c r="D26" s="7" t="s">
        <v>36</v>
      </c>
      <c r="E26" s="7" t="s">
        <v>23</v>
      </c>
      <c r="F26" s="7" t="s">
        <v>65</v>
      </c>
      <c r="G26" s="7" t="s">
        <v>63</v>
      </c>
      <c r="H26" s="7">
        <f t="shared" si="9"/>
        <v>0</v>
      </c>
      <c r="I26" s="7">
        <f t="shared" si="9"/>
        <v>1</v>
      </c>
      <c r="J26" s="7">
        <f t="shared" si="9"/>
        <v>0</v>
      </c>
      <c r="K26" s="7">
        <f t="shared" si="9"/>
        <v>1</v>
      </c>
      <c r="L26" s="7">
        <f t="shared" si="12"/>
        <v>10</v>
      </c>
      <c r="M26" s="7">
        <f t="shared" si="1"/>
        <v>0</v>
      </c>
      <c r="N26" s="7">
        <f t="shared" si="2"/>
        <v>0</v>
      </c>
      <c r="O26" s="7">
        <f t="shared" si="13"/>
        <v>50</v>
      </c>
      <c r="P26" s="7">
        <f t="shared" si="10"/>
        <v>2</v>
      </c>
      <c r="Q26" s="7">
        <f t="shared" si="10"/>
        <v>0</v>
      </c>
      <c r="R26" s="7">
        <f t="shared" si="4"/>
        <v>0</v>
      </c>
      <c r="S26" s="7">
        <v>10</v>
      </c>
      <c r="T26" s="7">
        <v>1.41421</v>
      </c>
      <c r="U26" s="7" t="str">
        <f>VLOOKUP(S26,'Training Typicals'!I:J,2,0)</f>
        <v>DCS Motor / Pump</v>
      </c>
    </row>
    <row r="27" spans="1:21" x14ac:dyDescent="0.25">
      <c r="A27" s="7" t="str">
        <f t="shared" si="11"/>
        <v>ESD-P-2101</v>
      </c>
      <c r="B27" s="7" t="s">
        <v>67</v>
      </c>
      <c r="C27" s="7" t="s">
        <v>68</v>
      </c>
      <c r="D27" s="7" t="s">
        <v>36</v>
      </c>
      <c r="E27" s="7" t="s">
        <v>48</v>
      </c>
      <c r="F27" s="7" t="s">
        <v>65</v>
      </c>
      <c r="G27" s="7" t="s">
        <v>63</v>
      </c>
      <c r="H27" s="7">
        <f t="shared" si="9"/>
        <v>0</v>
      </c>
      <c r="I27" s="7">
        <f t="shared" si="9"/>
        <v>0</v>
      </c>
      <c r="J27" s="7">
        <f t="shared" si="9"/>
        <v>0</v>
      </c>
      <c r="K27" s="7">
        <f t="shared" si="9"/>
        <v>1</v>
      </c>
      <c r="L27" s="7">
        <f t="shared" si="12"/>
        <v>50</v>
      </c>
      <c r="M27" s="7">
        <f t="shared" si="1"/>
        <v>0</v>
      </c>
      <c r="N27" s="7">
        <f t="shared" si="2"/>
        <v>50</v>
      </c>
      <c r="O27" s="7">
        <f t="shared" si="13"/>
        <v>50</v>
      </c>
      <c r="P27" s="7">
        <f t="shared" si="10"/>
        <v>0</v>
      </c>
      <c r="Q27" s="7">
        <f t="shared" si="10"/>
        <v>1</v>
      </c>
      <c r="R27" s="7">
        <f t="shared" si="4"/>
        <v>0</v>
      </c>
      <c r="S27" s="7">
        <v>8</v>
      </c>
      <c r="T27" s="7">
        <v>50</v>
      </c>
      <c r="U27" s="7" t="str">
        <f>VLOOKUP(S27,'Training Typicals'!I:J,2,0)</f>
        <v>ESD Trip Digital Output</v>
      </c>
    </row>
    <row r="28" spans="1:21" x14ac:dyDescent="0.25">
      <c r="A28" s="7" t="str">
        <f t="shared" si="11"/>
        <v>ESD-P-943100</v>
      </c>
      <c r="B28" s="7" t="s">
        <v>69</v>
      </c>
      <c r="C28" s="7" t="s">
        <v>75</v>
      </c>
      <c r="D28" s="7" t="s">
        <v>20</v>
      </c>
      <c r="E28" s="7" t="s">
        <v>48</v>
      </c>
      <c r="F28" s="7"/>
      <c r="G28" s="7" t="s">
        <v>30</v>
      </c>
      <c r="H28" s="7">
        <f t="shared" si="9"/>
        <v>3</v>
      </c>
      <c r="I28" s="7">
        <f t="shared" si="9"/>
        <v>0</v>
      </c>
      <c r="J28" s="7">
        <f t="shared" si="9"/>
        <v>0</v>
      </c>
      <c r="K28" s="7">
        <f t="shared" si="9"/>
        <v>0</v>
      </c>
      <c r="L28" s="7">
        <f t="shared" ref="L28:L33" si="14">IF(P28&gt;0,10,0)+IF(Q28&gt;0,50,0)</f>
        <v>50</v>
      </c>
      <c r="M28" s="7">
        <f t="shared" si="1"/>
        <v>0</v>
      </c>
      <c r="N28" s="7">
        <f t="shared" si="2"/>
        <v>0</v>
      </c>
      <c r="O28" s="7">
        <f t="shared" ref="O28:O33" si="15">IF(F28&lt;&gt;0,IF(R28&gt;0,10,50),0)</f>
        <v>0</v>
      </c>
      <c r="P28" s="7">
        <f t="shared" si="10"/>
        <v>0</v>
      </c>
      <c r="Q28" s="7">
        <f t="shared" si="10"/>
        <v>6</v>
      </c>
      <c r="R28" s="7">
        <f t="shared" si="4"/>
        <v>0</v>
      </c>
      <c r="S28" s="7">
        <v>7</v>
      </c>
      <c r="T28" s="7">
        <v>0</v>
      </c>
      <c r="U28" s="7" t="str">
        <f>VLOOKUP(S28,'Training Typicals'!I:J,2,0)</f>
        <v>ESD Analog Input 2oo3</v>
      </c>
    </row>
    <row r="29" spans="1:21" x14ac:dyDescent="0.25">
      <c r="A29" s="7" t="str">
        <f t="shared" si="11"/>
        <v>ESD-P-943100</v>
      </c>
      <c r="B29" s="7" t="s">
        <v>70</v>
      </c>
      <c r="C29" s="7" t="s">
        <v>75</v>
      </c>
      <c r="D29" s="7" t="s">
        <v>20</v>
      </c>
      <c r="E29" s="7" t="s">
        <v>48</v>
      </c>
      <c r="F29" s="7"/>
      <c r="G29" s="7" t="s">
        <v>30</v>
      </c>
      <c r="H29" s="7">
        <f t="shared" si="9"/>
        <v>3</v>
      </c>
      <c r="I29" s="7">
        <f t="shared" si="9"/>
        <v>0</v>
      </c>
      <c r="J29" s="7">
        <f t="shared" si="9"/>
        <v>0</v>
      </c>
      <c r="K29" s="7">
        <f t="shared" si="9"/>
        <v>0</v>
      </c>
      <c r="L29" s="7">
        <f t="shared" si="14"/>
        <v>50</v>
      </c>
      <c r="M29" s="7">
        <f t="shared" si="1"/>
        <v>0</v>
      </c>
      <c r="N29" s="7">
        <f t="shared" si="2"/>
        <v>0</v>
      </c>
      <c r="O29" s="7">
        <f t="shared" si="15"/>
        <v>0</v>
      </c>
      <c r="P29" s="7">
        <f t="shared" si="10"/>
        <v>0</v>
      </c>
      <c r="Q29" s="7">
        <f t="shared" si="10"/>
        <v>6</v>
      </c>
      <c r="R29" s="7">
        <f t="shared" si="4"/>
        <v>0</v>
      </c>
      <c r="S29" s="7">
        <v>7</v>
      </c>
      <c r="T29" s="7">
        <v>0</v>
      </c>
      <c r="U29" s="7" t="str">
        <f>VLOOKUP(S29,'Training Typicals'!I:J,2,0)</f>
        <v>ESD Analog Input 2oo3</v>
      </c>
    </row>
    <row r="30" spans="1:21" x14ac:dyDescent="0.25">
      <c r="A30" s="7" t="str">
        <f t="shared" si="11"/>
        <v>ESD-P-943100</v>
      </c>
      <c r="B30" s="7" t="s">
        <v>71</v>
      </c>
      <c r="C30" s="7" t="s">
        <v>75</v>
      </c>
      <c r="D30" s="7" t="s">
        <v>20</v>
      </c>
      <c r="E30" s="7" t="s">
        <v>48</v>
      </c>
      <c r="F30" s="7"/>
      <c r="G30" s="7" t="s">
        <v>30</v>
      </c>
      <c r="H30" s="7">
        <f t="shared" si="9"/>
        <v>3</v>
      </c>
      <c r="I30" s="7">
        <f t="shared" si="9"/>
        <v>0</v>
      </c>
      <c r="J30" s="7">
        <f t="shared" si="9"/>
        <v>0</v>
      </c>
      <c r="K30" s="7">
        <f t="shared" si="9"/>
        <v>0</v>
      </c>
      <c r="L30" s="7">
        <f t="shared" si="14"/>
        <v>50</v>
      </c>
      <c r="M30" s="7">
        <f t="shared" si="1"/>
        <v>0</v>
      </c>
      <c r="N30" s="7">
        <f t="shared" si="2"/>
        <v>0</v>
      </c>
      <c r="O30" s="7">
        <f t="shared" si="15"/>
        <v>0</v>
      </c>
      <c r="P30" s="7">
        <f t="shared" si="10"/>
        <v>0</v>
      </c>
      <c r="Q30" s="7">
        <f t="shared" si="10"/>
        <v>6</v>
      </c>
      <c r="R30" s="7">
        <f t="shared" si="4"/>
        <v>0</v>
      </c>
      <c r="S30" s="7">
        <v>7</v>
      </c>
      <c r="T30" s="7">
        <v>0</v>
      </c>
      <c r="U30" s="7" t="str">
        <f>VLOOKUP(S30,'Training Typicals'!I:J,2,0)</f>
        <v>ESD Analog Input 2oo3</v>
      </c>
    </row>
    <row r="31" spans="1:21" x14ac:dyDescent="0.25">
      <c r="A31" s="7" t="str">
        <f t="shared" si="11"/>
        <v>ESD-P-943100</v>
      </c>
      <c r="B31" s="7" t="s">
        <v>72</v>
      </c>
      <c r="C31" s="7" t="s">
        <v>75</v>
      </c>
      <c r="D31" s="7" t="s">
        <v>21</v>
      </c>
      <c r="E31" s="7" t="s">
        <v>48</v>
      </c>
      <c r="F31" s="7"/>
      <c r="G31" s="7" t="s">
        <v>30</v>
      </c>
      <c r="H31" s="7">
        <f t="shared" si="9"/>
        <v>3</v>
      </c>
      <c r="I31" s="7">
        <f t="shared" si="9"/>
        <v>0</v>
      </c>
      <c r="J31" s="7">
        <f t="shared" si="9"/>
        <v>0</v>
      </c>
      <c r="K31" s="7">
        <f t="shared" si="9"/>
        <v>0</v>
      </c>
      <c r="L31" s="7">
        <f t="shared" si="14"/>
        <v>50</v>
      </c>
      <c r="M31" s="7">
        <f t="shared" si="1"/>
        <v>0</v>
      </c>
      <c r="N31" s="7">
        <f t="shared" si="2"/>
        <v>0</v>
      </c>
      <c r="O31" s="7">
        <f t="shared" si="15"/>
        <v>0</v>
      </c>
      <c r="P31" s="7">
        <f t="shared" si="10"/>
        <v>0</v>
      </c>
      <c r="Q31" s="7">
        <f t="shared" si="10"/>
        <v>6</v>
      </c>
      <c r="R31" s="7">
        <f t="shared" si="4"/>
        <v>0</v>
      </c>
      <c r="S31" s="7">
        <v>7</v>
      </c>
      <c r="T31" s="7">
        <v>0</v>
      </c>
      <c r="U31" s="7" t="str">
        <f>VLOOKUP(S31,'Training Typicals'!I:J,2,0)</f>
        <v>ESD Analog Input 2oo3</v>
      </c>
    </row>
    <row r="32" spans="1:21" x14ac:dyDescent="0.25">
      <c r="A32" s="7" t="str">
        <f t="shared" si="11"/>
        <v>ESD-P-943100</v>
      </c>
      <c r="B32" s="7" t="s">
        <v>73</v>
      </c>
      <c r="C32" s="7" t="s">
        <v>75</v>
      </c>
      <c r="D32" s="7" t="s">
        <v>21</v>
      </c>
      <c r="E32" s="7" t="s">
        <v>48</v>
      </c>
      <c r="F32" s="7"/>
      <c r="G32" s="7" t="s">
        <v>30</v>
      </c>
      <c r="H32" s="7">
        <f t="shared" si="9"/>
        <v>3</v>
      </c>
      <c r="I32" s="7">
        <f t="shared" si="9"/>
        <v>0</v>
      </c>
      <c r="J32" s="7">
        <f t="shared" si="9"/>
        <v>0</v>
      </c>
      <c r="K32" s="7">
        <f t="shared" si="9"/>
        <v>0</v>
      </c>
      <c r="L32" s="7">
        <f t="shared" si="14"/>
        <v>50</v>
      </c>
      <c r="M32" s="7">
        <f t="shared" si="1"/>
        <v>0</v>
      </c>
      <c r="N32" s="7">
        <f t="shared" si="2"/>
        <v>0</v>
      </c>
      <c r="O32" s="7">
        <f t="shared" si="15"/>
        <v>0</v>
      </c>
      <c r="P32" s="7">
        <f t="shared" si="10"/>
        <v>0</v>
      </c>
      <c r="Q32" s="7">
        <f t="shared" si="10"/>
        <v>6</v>
      </c>
      <c r="R32" s="7">
        <f t="shared" si="4"/>
        <v>0</v>
      </c>
      <c r="S32" s="7">
        <v>7</v>
      </c>
      <c r="T32" s="7">
        <v>0</v>
      </c>
      <c r="U32" s="7" t="str">
        <f>VLOOKUP(S32,'Training Typicals'!I:J,2,0)</f>
        <v>ESD Analog Input 2oo3</v>
      </c>
    </row>
    <row r="33" spans="1:21" x14ac:dyDescent="0.25">
      <c r="A33" s="7" t="str">
        <f t="shared" si="11"/>
        <v>ESD-P-943100</v>
      </c>
      <c r="B33" s="7" t="s">
        <v>74</v>
      </c>
      <c r="C33" s="7" t="s">
        <v>75</v>
      </c>
      <c r="D33" s="7" t="s">
        <v>21</v>
      </c>
      <c r="E33" s="7" t="s">
        <v>48</v>
      </c>
      <c r="F33" s="7"/>
      <c r="G33" s="7" t="s">
        <v>30</v>
      </c>
      <c r="H33" s="7">
        <f t="shared" si="9"/>
        <v>3</v>
      </c>
      <c r="I33" s="7">
        <f t="shared" si="9"/>
        <v>0</v>
      </c>
      <c r="J33" s="7">
        <f t="shared" si="9"/>
        <v>0</v>
      </c>
      <c r="K33" s="7">
        <f t="shared" si="9"/>
        <v>0</v>
      </c>
      <c r="L33" s="7">
        <f t="shared" si="14"/>
        <v>50</v>
      </c>
      <c r="M33" s="7">
        <f t="shared" si="1"/>
        <v>0</v>
      </c>
      <c r="N33" s="7">
        <f t="shared" si="2"/>
        <v>0</v>
      </c>
      <c r="O33" s="7">
        <f t="shared" si="15"/>
        <v>0</v>
      </c>
      <c r="P33" s="7">
        <f t="shared" si="10"/>
        <v>0</v>
      </c>
      <c r="Q33" s="7">
        <f t="shared" si="10"/>
        <v>6</v>
      </c>
      <c r="R33" s="7">
        <f t="shared" si="4"/>
        <v>0</v>
      </c>
      <c r="S33" s="7">
        <v>7</v>
      </c>
      <c r="T33" s="7">
        <v>0</v>
      </c>
      <c r="U33" s="7" t="str">
        <f>VLOOKUP(S33,'Training Typicals'!I:J,2,0)</f>
        <v>ESD Analog Input 2oo3</v>
      </c>
    </row>
    <row r="34" spans="1:21" x14ac:dyDescent="0.25">
      <c r="A34" s="7" t="str">
        <f t="shared" ref="A34:A37" si="16">E34&amp;"-"&amp;IF(F34&lt;&gt;0,F34,C34)</f>
        <v>ESD-P-943101</v>
      </c>
      <c r="B34" s="7" t="s">
        <v>77</v>
      </c>
      <c r="C34" s="7" t="s">
        <v>76</v>
      </c>
      <c r="D34" s="7" t="s">
        <v>20</v>
      </c>
      <c r="E34" s="7" t="s">
        <v>48</v>
      </c>
      <c r="F34" s="7"/>
      <c r="G34" s="7" t="s">
        <v>30</v>
      </c>
      <c r="H34" s="7">
        <f t="shared" si="9"/>
        <v>2</v>
      </c>
      <c r="I34" s="7">
        <f t="shared" si="9"/>
        <v>0</v>
      </c>
      <c r="J34" s="7">
        <f t="shared" si="9"/>
        <v>0</v>
      </c>
      <c r="K34" s="7">
        <f t="shared" si="9"/>
        <v>0</v>
      </c>
      <c r="L34" s="7">
        <f t="shared" ref="L34:L37" si="17">IF(P34&gt;0,10,0)+IF(Q34&gt;0,50,0)</f>
        <v>50</v>
      </c>
      <c r="M34" s="7">
        <f t="shared" si="1"/>
        <v>0</v>
      </c>
      <c r="N34" s="7">
        <f t="shared" si="2"/>
        <v>0</v>
      </c>
      <c r="O34" s="7">
        <f t="shared" ref="O34:O37" si="18">IF(F34&lt;&gt;0,IF(R34&gt;0,10,50),0)</f>
        <v>0</v>
      </c>
      <c r="P34" s="7">
        <f t="shared" si="10"/>
        <v>0</v>
      </c>
      <c r="Q34" s="7">
        <f t="shared" si="10"/>
        <v>4</v>
      </c>
      <c r="R34" s="7">
        <f t="shared" si="4"/>
        <v>0</v>
      </c>
      <c r="S34" s="7">
        <v>6</v>
      </c>
      <c r="T34" s="7">
        <v>1</v>
      </c>
      <c r="U34" s="7" t="str">
        <f>VLOOKUP(S34,'Training Typicals'!I:J,2,0)</f>
        <v>ESD Analog Input</v>
      </c>
    </row>
    <row r="35" spans="1:21" x14ac:dyDescent="0.25">
      <c r="A35" s="7" t="str">
        <f t="shared" si="16"/>
        <v>ESD-P-943101</v>
      </c>
      <c r="B35" s="7" t="s">
        <v>78</v>
      </c>
      <c r="C35" s="7" t="s">
        <v>76</v>
      </c>
      <c r="D35" s="7" t="s">
        <v>20</v>
      </c>
      <c r="E35" s="7" t="s">
        <v>48</v>
      </c>
      <c r="F35" s="7"/>
      <c r="G35" s="7" t="s">
        <v>30</v>
      </c>
      <c r="H35" s="7">
        <f t="shared" si="9"/>
        <v>2</v>
      </c>
      <c r="I35" s="7">
        <f t="shared" si="9"/>
        <v>0</v>
      </c>
      <c r="J35" s="7">
        <f t="shared" si="9"/>
        <v>0</v>
      </c>
      <c r="K35" s="7">
        <f t="shared" si="9"/>
        <v>0</v>
      </c>
      <c r="L35" s="7">
        <f t="shared" si="17"/>
        <v>50</v>
      </c>
      <c r="M35" s="7">
        <f t="shared" si="1"/>
        <v>0</v>
      </c>
      <c r="N35" s="7">
        <f t="shared" si="2"/>
        <v>0</v>
      </c>
      <c r="O35" s="7">
        <f t="shared" si="18"/>
        <v>0</v>
      </c>
      <c r="P35" s="7">
        <f t="shared" si="10"/>
        <v>0</v>
      </c>
      <c r="Q35" s="7">
        <f t="shared" si="10"/>
        <v>4</v>
      </c>
      <c r="R35" s="7">
        <f t="shared" si="4"/>
        <v>0</v>
      </c>
      <c r="S35" s="7">
        <v>6</v>
      </c>
      <c r="T35" s="7">
        <v>1</v>
      </c>
      <c r="U35" s="7" t="str">
        <f>VLOOKUP(S35,'Training Typicals'!I:J,2,0)</f>
        <v>ESD Analog Input</v>
      </c>
    </row>
    <row r="36" spans="1:21" x14ac:dyDescent="0.25">
      <c r="A36" s="7" t="str">
        <f t="shared" si="16"/>
        <v>ESD-P-943101</v>
      </c>
      <c r="B36" s="7" t="s">
        <v>79</v>
      </c>
      <c r="C36" s="7" t="s">
        <v>76</v>
      </c>
      <c r="D36" s="7" t="s">
        <v>21</v>
      </c>
      <c r="E36" s="7" t="s">
        <v>48</v>
      </c>
      <c r="F36" s="7"/>
      <c r="G36" s="7" t="s">
        <v>30</v>
      </c>
      <c r="H36" s="7">
        <f t="shared" si="9"/>
        <v>2</v>
      </c>
      <c r="I36" s="7">
        <f t="shared" si="9"/>
        <v>0</v>
      </c>
      <c r="J36" s="7">
        <f t="shared" si="9"/>
        <v>0</v>
      </c>
      <c r="K36" s="7">
        <f t="shared" si="9"/>
        <v>0</v>
      </c>
      <c r="L36" s="7">
        <f t="shared" si="17"/>
        <v>50</v>
      </c>
      <c r="M36" s="7">
        <f t="shared" si="1"/>
        <v>0</v>
      </c>
      <c r="N36" s="7">
        <f t="shared" si="2"/>
        <v>0</v>
      </c>
      <c r="O36" s="7">
        <f t="shared" si="18"/>
        <v>0</v>
      </c>
      <c r="P36" s="7">
        <f t="shared" si="10"/>
        <v>0</v>
      </c>
      <c r="Q36" s="7">
        <f t="shared" si="10"/>
        <v>4</v>
      </c>
      <c r="R36" s="7">
        <f t="shared" si="4"/>
        <v>0</v>
      </c>
      <c r="S36" s="7">
        <v>6</v>
      </c>
      <c r="T36" s="7">
        <v>1</v>
      </c>
      <c r="U36" s="7" t="str">
        <f>VLOOKUP(S36,'Training Typicals'!I:J,2,0)</f>
        <v>ESD Analog Input</v>
      </c>
    </row>
    <row r="37" spans="1:21" x14ac:dyDescent="0.25">
      <c r="A37" s="7" t="str">
        <f t="shared" si="16"/>
        <v>ESD-P-943101</v>
      </c>
      <c r="B37" s="7" t="s">
        <v>80</v>
      </c>
      <c r="C37" s="7" t="s">
        <v>76</v>
      </c>
      <c r="D37" s="7" t="s">
        <v>21</v>
      </c>
      <c r="E37" s="7" t="s">
        <v>48</v>
      </c>
      <c r="F37" s="7"/>
      <c r="G37" s="7" t="s">
        <v>30</v>
      </c>
      <c r="H37" s="7">
        <f t="shared" si="9"/>
        <v>2</v>
      </c>
      <c r="I37" s="7">
        <f t="shared" si="9"/>
        <v>0</v>
      </c>
      <c r="J37" s="7">
        <f t="shared" si="9"/>
        <v>0</v>
      </c>
      <c r="K37" s="7">
        <f t="shared" si="9"/>
        <v>0</v>
      </c>
      <c r="L37" s="7">
        <f t="shared" si="17"/>
        <v>50</v>
      </c>
      <c r="M37" s="7">
        <f t="shared" si="1"/>
        <v>0</v>
      </c>
      <c r="N37" s="7">
        <f t="shared" si="2"/>
        <v>0</v>
      </c>
      <c r="O37" s="7">
        <f t="shared" si="18"/>
        <v>0</v>
      </c>
      <c r="P37" s="7">
        <f t="shared" si="10"/>
        <v>0</v>
      </c>
      <c r="Q37" s="7">
        <f t="shared" si="10"/>
        <v>4</v>
      </c>
      <c r="R37" s="7">
        <f t="shared" si="4"/>
        <v>0</v>
      </c>
      <c r="S37" s="7">
        <v>6</v>
      </c>
      <c r="T37" s="7">
        <v>1</v>
      </c>
      <c r="U37" s="7" t="str">
        <f>VLOOKUP(S37,'Training Typicals'!I:J,2,0)</f>
        <v>ESD Analog Input</v>
      </c>
    </row>
  </sheetData>
  <autoFilter ref="A1:U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J10"/>
  <sheetViews>
    <sheetView workbookViewId="0">
      <selection sqref="A1:J10"/>
    </sheetView>
  </sheetViews>
  <sheetFormatPr defaultRowHeight="14.25" x14ac:dyDescent="0.25"/>
  <cols>
    <col min="1" max="7" width="8.140625" style="1" bestFit="1" customWidth="1"/>
    <col min="8" max="8" width="10.85546875" style="1" bestFit="1" customWidth="1"/>
    <col min="9" max="9" width="8.140625" style="1" bestFit="1" customWidth="1"/>
    <col min="10" max="10" width="39.28515625" style="1" customWidth="1"/>
    <col min="11" max="16384" width="9.140625" style="1"/>
  </cols>
  <sheetData>
    <row r="1" spans="1:10" s="2" customFormat="1" ht="92.25" customHeight="1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31</v>
      </c>
      <c r="G1" s="6" t="s">
        <v>32</v>
      </c>
      <c r="H1" s="6" t="s">
        <v>53</v>
      </c>
      <c r="I1" s="8" t="s">
        <v>82</v>
      </c>
      <c r="J1" s="8" t="s">
        <v>81</v>
      </c>
    </row>
    <row r="2" spans="1:10" x14ac:dyDescent="0.25">
      <c r="A2" s="7">
        <v>1</v>
      </c>
      <c r="B2" s="7">
        <v>0</v>
      </c>
      <c r="C2" s="7">
        <v>0</v>
      </c>
      <c r="D2" s="7">
        <v>0</v>
      </c>
      <c r="E2" s="7">
        <v>10</v>
      </c>
      <c r="F2" s="7">
        <v>0</v>
      </c>
      <c r="G2" s="7">
        <v>0</v>
      </c>
      <c r="H2" s="7">
        <v>0</v>
      </c>
      <c r="I2" s="7">
        <v>1</v>
      </c>
      <c r="J2" s="7" t="s">
        <v>87</v>
      </c>
    </row>
    <row r="3" spans="1:10" x14ac:dyDescent="0.25">
      <c r="A3" s="7">
        <v>1</v>
      </c>
      <c r="B3" s="7">
        <v>0</v>
      </c>
      <c r="C3" s="7">
        <v>1</v>
      </c>
      <c r="D3" s="7">
        <v>0</v>
      </c>
      <c r="E3" s="7">
        <v>10</v>
      </c>
      <c r="F3" s="7">
        <v>50</v>
      </c>
      <c r="G3" s="7">
        <v>0</v>
      </c>
      <c r="H3" s="7">
        <v>0</v>
      </c>
      <c r="I3" s="7">
        <v>3</v>
      </c>
      <c r="J3" s="7" t="s">
        <v>5</v>
      </c>
    </row>
    <row r="4" spans="1:10" x14ac:dyDescent="0.25">
      <c r="A4" s="7">
        <v>1</v>
      </c>
      <c r="B4" s="7">
        <v>0</v>
      </c>
      <c r="C4" s="7">
        <v>0</v>
      </c>
      <c r="D4" s="7">
        <v>0</v>
      </c>
      <c r="E4" s="7">
        <v>10</v>
      </c>
      <c r="F4" s="7">
        <v>50</v>
      </c>
      <c r="G4" s="7">
        <v>0</v>
      </c>
      <c r="H4" s="7">
        <v>0</v>
      </c>
      <c r="I4" s="7">
        <v>4</v>
      </c>
      <c r="J4" s="7" t="s">
        <v>6</v>
      </c>
    </row>
    <row r="5" spans="1:10" x14ac:dyDescent="0.25">
      <c r="A5" s="7">
        <v>1</v>
      </c>
      <c r="B5" s="7">
        <v>0</v>
      </c>
      <c r="C5" s="7">
        <v>2</v>
      </c>
      <c r="D5" s="7">
        <v>0</v>
      </c>
      <c r="E5" s="7">
        <v>10</v>
      </c>
      <c r="F5" s="7">
        <v>50</v>
      </c>
      <c r="G5" s="7">
        <v>0</v>
      </c>
      <c r="H5" s="7">
        <v>0</v>
      </c>
      <c r="I5" s="7">
        <v>5</v>
      </c>
      <c r="J5" s="7" t="s">
        <v>7</v>
      </c>
    </row>
    <row r="6" spans="1:10" x14ac:dyDescent="0.25">
      <c r="A6" s="7">
        <v>1</v>
      </c>
      <c r="B6" s="7">
        <v>0</v>
      </c>
      <c r="C6" s="7">
        <v>0</v>
      </c>
      <c r="D6" s="7">
        <v>0</v>
      </c>
      <c r="E6" s="7">
        <v>50</v>
      </c>
      <c r="F6" s="7">
        <v>0</v>
      </c>
      <c r="G6" s="7">
        <v>0</v>
      </c>
      <c r="H6" s="7">
        <v>0</v>
      </c>
      <c r="I6" s="7">
        <v>6</v>
      </c>
      <c r="J6" s="7" t="s">
        <v>88</v>
      </c>
    </row>
    <row r="7" spans="1:10" x14ac:dyDescent="0.25">
      <c r="A7" s="7">
        <v>3</v>
      </c>
      <c r="B7" s="7">
        <v>0</v>
      </c>
      <c r="C7" s="7">
        <v>0</v>
      </c>
      <c r="D7" s="7">
        <v>0</v>
      </c>
      <c r="E7" s="7">
        <v>50</v>
      </c>
      <c r="F7" s="7">
        <v>0</v>
      </c>
      <c r="G7" s="7">
        <v>0</v>
      </c>
      <c r="H7" s="7">
        <v>0</v>
      </c>
      <c r="I7" s="7">
        <v>7</v>
      </c>
      <c r="J7" s="7" t="s">
        <v>89</v>
      </c>
    </row>
    <row r="8" spans="1:10" x14ac:dyDescent="0.25">
      <c r="A8" s="7">
        <v>0</v>
      </c>
      <c r="B8" s="7">
        <v>0</v>
      </c>
      <c r="C8" s="7">
        <v>0</v>
      </c>
      <c r="D8" s="7">
        <v>1</v>
      </c>
      <c r="E8" s="7">
        <v>50</v>
      </c>
      <c r="F8" s="7">
        <v>0</v>
      </c>
      <c r="G8" s="7">
        <v>50</v>
      </c>
      <c r="H8" s="7">
        <v>0</v>
      </c>
      <c r="I8" s="7">
        <v>8</v>
      </c>
      <c r="J8" s="7" t="s">
        <v>90</v>
      </c>
    </row>
    <row r="9" spans="1:10" x14ac:dyDescent="0.25">
      <c r="A9" s="7">
        <v>0</v>
      </c>
      <c r="B9" s="7">
        <v>2</v>
      </c>
      <c r="C9" s="7">
        <v>0</v>
      </c>
      <c r="D9" s="7">
        <v>1</v>
      </c>
      <c r="E9" s="7">
        <v>10</v>
      </c>
      <c r="F9" s="7">
        <v>0</v>
      </c>
      <c r="G9" s="7">
        <v>0</v>
      </c>
      <c r="H9" s="7">
        <v>10</v>
      </c>
      <c r="I9" s="7">
        <v>9</v>
      </c>
      <c r="J9" s="7" t="s">
        <v>86</v>
      </c>
    </row>
    <row r="10" spans="1:10" x14ac:dyDescent="0.25">
      <c r="A10" s="7">
        <v>0</v>
      </c>
      <c r="B10" s="7">
        <v>2</v>
      </c>
      <c r="C10" s="7">
        <v>0</v>
      </c>
      <c r="D10" s="7">
        <v>2</v>
      </c>
      <c r="E10" s="7">
        <v>10</v>
      </c>
      <c r="F10" s="7">
        <v>0</v>
      </c>
      <c r="G10" s="7">
        <v>0</v>
      </c>
      <c r="H10" s="7">
        <v>50</v>
      </c>
      <c r="I10" s="7">
        <v>10</v>
      </c>
      <c r="J10" s="7" t="s">
        <v>91</v>
      </c>
    </row>
  </sheetData>
  <autoFilter ref="A1:K278">
    <sortState ref="A2:L281">
      <sortCondition ref="I1:I281"/>
    </sortState>
  </autoFilter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I37"/>
  <sheetViews>
    <sheetView workbookViewId="0">
      <selection activeCell="I15" sqref="I15"/>
    </sheetView>
  </sheetViews>
  <sheetFormatPr defaultRowHeight="15" x14ac:dyDescent="0.25"/>
  <cols>
    <col min="1" max="1" width="12.85546875" style="1" bestFit="1" customWidth="1"/>
    <col min="2" max="2" width="10" style="1" bestFit="1" customWidth="1"/>
    <col min="3" max="3" width="5.85546875" style="1" bestFit="1" customWidth="1"/>
    <col min="4" max="4" width="5.5703125" style="1" bestFit="1" customWidth="1"/>
    <col min="5" max="5" width="11.140625" style="1" bestFit="1" customWidth="1"/>
    <col min="6" max="6" width="6.85546875" style="1" bestFit="1" customWidth="1"/>
    <col min="7" max="7" width="3.5703125" style="1" bestFit="1" customWidth="1"/>
    <col min="8" max="8" width="9" style="1" bestFit="1" customWidth="1"/>
    <col min="9" max="9" width="29.42578125" style="1" bestFit="1" customWidth="1"/>
  </cols>
  <sheetData>
    <row r="1" spans="1:9" ht="114" customHeight="1" x14ac:dyDescent="0.25">
      <c r="A1" s="5" t="s">
        <v>8</v>
      </c>
      <c r="B1" s="5" t="s">
        <v>9</v>
      </c>
      <c r="C1" s="5" t="s">
        <v>10</v>
      </c>
      <c r="D1" s="5" t="s">
        <v>11</v>
      </c>
      <c r="E1" s="5" t="s">
        <v>37</v>
      </c>
      <c r="F1" s="5" t="s">
        <v>29</v>
      </c>
      <c r="G1" s="5" t="s">
        <v>83</v>
      </c>
      <c r="H1" s="5" t="s">
        <v>84</v>
      </c>
      <c r="I1" s="5" t="s">
        <v>85</v>
      </c>
    </row>
    <row r="2" spans="1:9" x14ac:dyDescent="0.25">
      <c r="A2" s="7" t="s">
        <v>12</v>
      </c>
      <c r="B2" s="7" t="s">
        <v>18</v>
      </c>
      <c r="C2" s="7" t="s">
        <v>0</v>
      </c>
      <c r="D2" s="7" t="s">
        <v>23</v>
      </c>
      <c r="E2" s="7"/>
      <c r="F2" s="7" t="s">
        <v>30</v>
      </c>
      <c r="G2" s="7">
        <v>1</v>
      </c>
      <c r="H2" s="7">
        <v>0</v>
      </c>
      <c r="I2" s="7" t="s">
        <v>87</v>
      </c>
    </row>
    <row r="3" spans="1:9" x14ac:dyDescent="0.25">
      <c r="A3" s="7" t="s">
        <v>13</v>
      </c>
      <c r="B3" s="7" t="s">
        <v>18</v>
      </c>
      <c r="C3" s="7" t="s">
        <v>21</v>
      </c>
      <c r="D3" s="7" t="s">
        <v>23</v>
      </c>
      <c r="E3" s="7"/>
      <c r="F3" s="7" t="s">
        <v>30</v>
      </c>
      <c r="G3" s="7">
        <v>1</v>
      </c>
      <c r="H3" s="7">
        <v>0</v>
      </c>
      <c r="I3" s="7" t="s">
        <v>87</v>
      </c>
    </row>
    <row r="4" spans="1:9" x14ac:dyDescent="0.25">
      <c r="A4" s="7" t="s">
        <v>14</v>
      </c>
      <c r="B4" s="7" t="s">
        <v>19</v>
      </c>
      <c r="C4" s="7" t="s">
        <v>20</v>
      </c>
      <c r="D4" s="7" t="s">
        <v>23</v>
      </c>
      <c r="E4" s="7"/>
      <c r="F4" s="7" t="s">
        <v>30</v>
      </c>
      <c r="G4" s="7">
        <v>3</v>
      </c>
      <c r="H4" s="7">
        <v>1</v>
      </c>
      <c r="I4" s="7" t="s">
        <v>5</v>
      </c>
    </row>
    <row r="5" spans="1:9" x14ac:dyDescent="0.25">
      <c r="A5" s="7" t="s">
        <v>15</v>
      </c>
      <c r="B5" s="7" t="s">
        <v>19</v>
      </c>
      <c r="C5" s="7" t="s">
        <v>21</v>
      </c>
      <c r="D5" s="7" t="s">
        <v>23</v>
      </c>
      <c r="E5" s="7"/>
      <c r="F5" s="7" t="s">
        <v>30</v>
      </c>
      <c r="G5" s="7">
        <v>3</v>
      </c>
      <c r="H5" s="7">
        <v>1</v>
      </c>
      <c r="I5" s="7" t="s">
        <v>5</v>
      </c>
    </row>
    <row r="6" spans="1:9" x14ac:dyDescent="0.25">
      <c r="A6" s="7" t="s">
        <v>16</v>
      </c>
      <c r="B6" s="7" t="s">
        <v>19</v>
      </c>
      <c r="C6" s="7" t="s">
        <v>22</v>
      </c>
      <c r="D6" s="7" t="s">
        <v>23</v>
      </c>
      <c r="E6" s="7"/>
      <c r="F6" s="7" t="s">
        <v>30</v>
      </c>
      <c r="G6" s="7">
        <v>3</v>
      </c>
      <c r="H6" s="7">
        <v>1</v>
      </c>
      <c r="I6" s="7" t="s">
        <v>5</v>
      </c>
    </row>
    <row r="7" spans="1:9" x14ac:dyDescent="0.25">
      <c r="A7" s="7" t="s">
        <v>17</v>
      </c>
      <c r="B7" s="7" t="s">
        <v>19</v>
      </c>
      <c r="C7" s="7" t="s">
        <v>1</v>
      </c>
      <c r="D7" s="7" t="s">
        <v>23</v>
      </c>
      <c r="E7" s="7"/>
      <c r="F7" s="7" t="s">
        <v>30</v>
      </c>
      <c r="G7" s="7">
        <v>3</v>
      </c>
      <c r="H7" s="7">
        <v>1</v>
      </c>
      <c r="I7" s="7" t="s">
        <v>5</v>
      </c>
    </row>
    <row r="8" spans="1:9" x14ac:dyDescent="0.25">
      <c r="A8" s="7" t="s">
        <v>24</v>
      </c>
      <c r="B8" s="7" t="s">
        <v>28</v>
      </c>
      <c r="C8" s="7" t="s">
        <v>20</v>
      </c>
      <c r="D8" s="7" t="s">
        <v>23</v>
      </c>
      <c r="E8" s="7"/>
      <c r="F8" s="7" t="s">
        <v>30</v>
      </c>
      <c r="G8" s="7">
        <v>5</v>
      </c>
      <c r="H8" s="7">
        <v>0</v>
      </c>
      <c r="I8" s="7" t="s">
        <v>7</v>
      </c>
    </row>
    <row r="9" spans="1:9" x14ac:dyDescent="0.25">
      <c r="A9" s="7" t="s">
        <v>25</v>
      </c>
      <c r="B9" s="7" t="s">
        <v>28</v>
      </c>
      <c r="C9" s="7" t="s">
        <v>21</v>
      </c>
      <c r="D9" s="7" t="s">
        <v>23</v>
      </c>
      <c r="E9" s="7"/>
      <c r="F9" s="7" t="s">
        <v>30</v>
      </c>
      <c r="G9" s="7">
        <v>5</v>
      </c>
      <c r="H9" s="7">
        <v>0</v>
      </c>
      <c r="I9" s="7" t="s">
        <v>7</v>
      </c>
    </row>
    <row r="10" spans="1:9" x14ac:dyDescent="0.25">
      <c r="A10" s="7" t="s">
        <v>26</v>
      </c>
      <c r="B10" s="7" t="s">
        <v>28</v>
      </c>
      <c r="C10" s="7" t="s">
        <v>22</v>
      </c>
      <c r="D10" s="7" t="s">
        <v>23</v>
      </c>
      <c r="E10" s="7"/>
      <c r="F10" s="7" t="s">
        <v>30</v>
      </c>
      <c r="G10" s="7">
        <v>5</v>
      </c>
      <c r="H10" s="7">
        <v>0</v>
      </c>
      <c r="I10" s="7" t="s">
        <v>7</v>
      </c>
    </row>
    <row r="11" spans="1:9" x14ac:dyDescent="0.25">
      <c r="A11" s="7" t="s">
        <v>27</v>
      </c>
      <c r="B11" s="7" t="s">
        <v>28</v>
      </c>
      <c r="C11" s="7" t="s">
        <v>22</v>
      </c>
      <c r="D11" s="7" t="s">
        <v>23</v>
      </c>
      <c r="E11" s="7"/>
      <c r="F11" s="7" t="s">
        <v>30</v>
      </c>
      <c r="G11" s="7">
        <v>5</v>
      </c>
      <c r="H11" s="7">
        <v>0</v>
      </c>
      <c r="I11" s="7" t="s">
        <v>7</v>
      </c>
    </row>
    <row r="12" spans="1:9" x14ac:dyDescent="0.25">
      <c r="A12" s="7" t="s">
        <v>33</v>
      </c>
      <c r="B12" s="7" t="s">
        <v>39</v>
      </c>
      <c r="C12" s="7" t="s">
        <v>1</v>
      </c>
      <c r="D12" s="7" t="s">
        <v>23</v>
      </c>
      <c r="E12" s="7" t="s">
        <v>38</v>
      </c>
      <c r="F12" s="7" t="s">
        <v>30</v>
      </c>
      <c r="G12" s="7">
        <v>9</v>
      </c>
      <c r="H12" s="7">
        <v>0</v>
      </c>
      <c r="I12" s="7" t="s">
        <v>86</v>
      </c>
    </row>
    <row r="13" spans="1:9" x14ac:dyDescent="0.25">
      <c r="A13" s="7" t="s">
        <v>34</v>
      </c>
      <c r="B13" s="7" t="s">
        <v>39</v>
      </c>
      <c r="C13" s="7" t="s">
        <v>1</v>
      </c>
      <c r="D13" s="7" t="s">
        <v>23</v>
      </c>
      <c r="E13" s="7" t="s">
        <v>38</v>
      </c>
      <c r="F13" s="7" t="s">
        <v>30</v>
      </c>
      <c r="G13" s="7">
        <v>9</v>
      </c>
      <c r="H13" s="7">
        <v>0</v>
      </c>
      <c r="I13" s="7" t="s">
        <v>86</v>
      </c>
    </row>
    <row r="14" spans="1:9" x14ac:dyDescent="0.25">
      <c r="A14" s="7" t="s">
        <v>35</v>
      </c>
      <c r="B14" s="7" t="s">
        <v>40</v>
      </c>
      <c r="C14" s="7" t="s">
        <v>36</v>
      </c>
      <c r="D14" s="7" t="s">
        <v>23</v>
      </c>
      <c r="E14" s="7" t="s">
        <v>38</v>
      </c>
      <c r="F14" s="7" t="s">
        <v>30</v>
      </c>
      <c r="G14" s="7">
        <v>9</v>
      </c>
      <c r="H14" s="7">
        <v>0</v>
      </c>
      <c r="I14" s="7" t="s">
        <v>86</v>
      </c>
    </row>
    <row r="15" spans="1:9" x14ac:dyDescent="0.25">
      <c r="A15" s="7" t="s">
        <v>43</v>
      </c>
      <c r="B15" s="7" t="s">
        <v>41</v>
      </c>
      <c r="C15" s="7" t="s">
        <v>1</v>
      </c>
      <c r="D15" s="7" t="s">
        <v>23</v>
      </c>
      <c r="E15" s="7" t="s">
        <v>49</v>
      </c>
      <c r="F15" s="7" t="s">
        <v>30</v>
      </c>
      <c r="G15" s="7">
        <v>9</v>
      </c>
      <c r="H15" s="7">
        <v>1</v>
      </c>
      <c r="I15" s="7" t="s">
        <v>86</v>
      </c>
    </row>
    <row r="16" spans="1:9" x14ac:dyDescent="0.25">
      <c r="A16" s="7" t="s">
        <v>44</v>
      </c>
      <c r="B16" s="7" t="s">
        <v>42</v>
      </c>
      <c r="C16" s="7" t="s">
        <v>36</v>
      </c>
      <c r="D16" s="7" t="s">
        <v>23</v>
      </c>
      <c r="E16" s="7" t="s">
        <v>49</v>
      </c>
      <c r="F16" s="7" t="s">
        <v>30</v>
      </c>
      <c r="G16" s="7">
        <v>9</v>
      </c>
      <c r="H16" s="7">
        <v>1</v>
      </c>
      <c r="I16" s="7" t="s">
        <v>86</v>
      </c>
    </row>
    <row r="17" spans="1:9" x14ac:dyDescent="0.25">
      <c r="A17" s="7" t="s">
        <v>47</v>
      </c>
      <c r="B17" s="7" t="s">
        <v>45</v>
      </c>
      <c r="C17" s="7" t="s">
        <v>1</v>
      </c>
      <c r="D17" s="7" t="s">
        <v>23</v>
      </c>
      <c r="E17" s="7" t="s">
        <v>50</v>
      </c>
      <c r="F17" s="7" t="s">
        <v>30</v>
      </c>
      <c r="G17" s="7">
        <v>9</v>
      </c>
      <c r="H17" s="7">
        <v>1</v>
      </c>
      <c r="I17" s="7" t="s">
        <v>86</v>
      </c>
    </row>
    <row r="18" spans="1:9" x14ac:dyDescent="0.25">
      <c r="A18" s="7" t="s">
        <v>51</v>
      </c>
      <c r="B18" s="7" t="s">
        <v>45</v>
      </c>
      <c r="C18" s="7" t="s">
        <v>1</v>
      </c>
      <c r="D18" s="7" t="s">
        <v>23</v>
      </c>
      <c r="E18" s="7" t="s">
        <v>50</v>
      </c>
      <c r="F18" s="7" t="s">
        <v>30</v>
      </c>
      <c r="G18" s="7">
        <v>9</v>
      </c>
      <c r="H18" s="7">
        <v>1</v>
      </c>
      <c r="I18" s="7" t="s">
        <v>86</v>
      </c>
    </row>
    <row r="19" spans="1:9" x14ac:dyDescent="0.25">
      <c r="A19" s="7" t="s">
        <v>52</v>
      </c>
      <c r="B19" s="7" t="s">
        <v>46</v>
      </c>
      <c r="C19" s="7" t="s">
        <v>36</v>
      </c>
      <c r="D19" s="7" t="s">
        <v>48</v>
      </c>
      <c r="E19" s="7" t="s">
        <v>50</v>
      </c>
      <c r="F19" s="7" t="s">
        <v>30</v>
      </c>
      <c r="G19" s="7">
        <v>8</v>
      </c>
      <c r="H19" s="7">
        <v>10</v>
      </c>
      <c r="I19" s="7" t="s">
        <v>90</v>
      </c>
    </row>
    <row r="20" spans="1:9" x14ac:dyDescent="0.25">
      <c r="A20" s="7" t="s">
        <v>55</v>
      </c>
      <c r="B20" s="7" t="s">
        <v>59</v>
      </c>
      <c r="C20" s="7" t="s">
        <v>60</v>
      </c>
      <c r="D20" s="7" t="s">
        <v>23</v>
      </c>
      <c r="E20" s="7" t="s">
        <v>62</v>
      </c>
      <c r="F20" s="7" t="s">
        <v>63</v>
      </c>
      <c r="G20" s="7">
        <v>10</v>
      </c>
      <c r="H20" s="7">
        <v>0</v>
      </c>
      <c r="I20" s="7" t="s">
        <v>91</v>
      </c>
    </row>
    <row r="21" spans="1:9" x14ac:dyDescent="0.25">
      <c r="A21" s="7" t="s">
        <v>56</v>
      </c>
      <c r="B21" s="7" t="s">
        <v>59</v>
      </c>
      <c r="C21" s="7" t="s">
        <v>60</v>
      </c>
      <c r="D21" s="7" t="s">
        <v>23</v>
      </c>
      <c r="E21" s="7" t="s">
        <v>62</v>
      </c>
      <c r="F21" s="7" t="s">
        <v>63</v>
      </c>
      <c r="G21" s="7">
        <v>10</v>
      </c>
      <c r="H21" s="7">
        <v>0</v>
      </c>
      <c r="I21" s="7" t="s">
        <v>91</v>
      </c>
    </row>
    <row r="22" spans="1:9" x14ac:dyDescent="0.25">
      <c r="A22" s="7" t="s">
        <v>57</v>
      </c>
      <c r="B22" s="7" t="s">
        <v>59</v>
      </c>
      <c r="C22" s="7" t="s">
        <v>36</v>
      </c>
      <c r="D22" s="7" t="s">
        <v>23</v>
      </c>
      <c r="E22" s="7" t="s">
        <v>62</v>
      </c>
      <c r="F22" s="7" t="s">
        <v>63</v>
      </c>
      <c r="G22" s="7">
        <v>10</v>
      </c>
      <c r="H22" s="7">
        <v>0</v>
      </c>
      <c r="I22" s="7" t="s">
        <v>91</v>
      </c>
    </row>
    <row r="23" spans="1:9" x14ac:dyDescent="0.25">
      <c r="A23" s="7" t="s">
        <v>58</v>
      </c>
      <c r="B23" s="7" t="s">
        <v>59</v>
      </c>
      <c r="C23" s="7" t="s">
        <v>36</v>
      </c>
      <c r="D23" s="7" t="s">
        <v>23</v>
      </c>
      <c r="E23" s="7" t="s">
        <v>62</v>
      </c>
      <c r="F23" s="7" t="s">
        <v>63</v>
      </c>
      <c r="G23" s="7">
        <v>10</v>
      </c>
      <c r="H23" s="7">
        <v>0</v>
      </c>
      <c r="I23" s="7" t="s">
        <v>91</v>
      </c>
    </row>
    <row r="24" spans="1:9" x14ac:dyDescent="0.25">
      <c r="A24" s="7" t="s">
        <v>61</v>
      </c>
      <c r="B24" s="7" t="s">
        <v>59</v>
      </c>
      <c r="C24" s="7" t="s">
        <v>36</v>
      </c>
      <c r="D24" s="7" t="s">
        <v>48</v>
      </c>
      <c r="E24" s="7" t="s">
        <v>62</v>
      </c>
      <c r="F24" s="7" t="s">
        <v>63</v>
      </c>
      <c r="G24" s="7">
        <v>8</v>
      </c>
      <c r="H24" s="7">
        <v>50</v>
      </c>
      <c r="I24" s="7" t="s">
        <v>90</v>
      </c>
    </row>
    <row r="25" spans="1:9" x14ac:dyDescent="0.25">
      <c r="A25" s="7" t="s">
        <v>66</v>
      </c>
      <c r="B25" s="7" t="s">
        <v>68</v>
      </c>
      <c r="C25" s="7" t="s">
        <v>60</v>
      </c>
      <c r="D25" s="7" t="s">
        <v>23</v>
      </c>
      <c r="E25" s="7" t="s">
        <v>65</v>
      </c>
      <c r="F25" s="7" t="s">
        <v>63</v>
      </c>
      <c r="G25" s="7">
        <v>10</v>
      </c>
      <c r="H25" s="7">
        <v>1.41421</v>
      </c>
      <c r="I25" s="7" t="s">
        <v>91</v>
      </c>
    </row>
    <row r="26" spans="1:9" x14ac:dyDescent="0.25">
      <c r="A26" s="7" t="s">
        <v>67</v>
      </c>
      <c r="B26" s="7" t="s">
        <v>68</v>
      </c>
      <c r="C26" s="7" t="s">
        <v>36</v>
      </c>
      <c r="D26" s="7" t="s">
        <v>23</v>
      </c>
      <c r="E26" s="7" t="s">
        <v>65</v>
      </c>
      <c r="F26" s="7" t="s">
        <v>63</v>
      </c>
      <c r="G26" s="7">
        <v>10</v>
      </c>
      <c r="H26" s="7">
        <v>1.41421</v>
      </c>
      <c r="I26" s="7" t="s">
        <v>91</v>
      </c>
    </row>
    <row r="27" spans="1:9" x14ac:dyDescent="0.25">
      <c r="A27" s="7" t="s">
        <v>67</v>
      </c>
      <c r="B27" s="7" t="s">
        <v>68</v>
      </c>
      <c r="C27" s="7" t="s">
        <v>36</v>
      </c>
      <c r="D27" s="7" t="s">
        <v>48</v>
      </c>
      <c r="E27" s="7" t="s">
        <v>65</v>
      </c>
      <c r="F27" s="7" t="s">
        <v>63</v>
      </c>
      <c r="G27" s="7">
        <v>8</v>
      </c>
      <c r="H27" s="7">
        <v>50</v>
      </c>
      <c r="I27" s="7" t="s">
        <v>90</v>
      </c>
    </row>
    <row r="28" spans="1:9" x14ac:dyDescent="0.25">
      <c r="A28" s="7" t="s">
        <v>69</v>
      </c>
      <c r="B28" s="7" t="s">
        <v>75</v>
      </c>
      <c r="C28" s="7" t="s">
        <v>20</v>
      </c>
      <c r="D28" s="7" t="s">
        <v>48</v>
      </c>
      <c r="E28" s="7"/>
      <c r="F28" s="7" t="s">
        <v>30</v>
      </c>
      <c r="G28" s="7">
        <v>7</v>
      </c>
      <c r="H28" s="7">
        <v>0</v>
      </c>
      <c r="I28" s="7" t="s">
        <v>89</v>
      </c>
    </row>
    <row r="29" spans="1:9" x14ac:dyDescent="0.25">
      <c r="A29" s="7" t="s">
        <v>70</v>
      </c>
      <c r="B29" s="7" t="s">
        <v>75</v>
      </c>
      <c r="C29" s="7" t="s">
        <v>20</v>
      </c>
      <c r="D29" s="7" t="s">
        <v>48</v>
      </c>
      <c r="E29" s="7"/>
      <c r="F29" s="7" t="s">
        <v>30</v>
      </c>
      <c r="G29" s="7">
        <v>7</v>
      </c>
      <c r="H29" s="7">
        <v>0</v>
      </c>
      <c r="I29" s="7" t="s">
        <v>89</v>
      </c>
    </row>
    <row r="30" spans="1:9" x14ac:dyDescent="0.25">
      <c r="A30" s="7" t="s">
        <v>71</v>
      </c>
      <c r="B30" s="7" t="s">
        <v>75</v>
      </c>
      <c r="C30" s="7" t="s">
        <v>20</v>
      </c>
      <c r="D30" s="7" t="s">
        <v>48</v>
      </c>
      <c r="E30" s="7"/>
      <c r="F30" s="7" t="s">
        <v>30</v>
      </c>
      <c r="G30" s="7">
        <v>7</v>
      </c>
      <c r="H30" s="7">
        <v>0</v>
      </c>
      <c r="I30" s="7" t="s">
        <v>89</v>
      </c>
    </row>
    <row r="31" spans="1:9" x14ac:dyDescent="0.25">
      <c r="A31" s="7" t="s">
        <v>72</v>
      </c>
      <c r="B31" s="7" t="s">
        <v>75</v>
      </c>
      <c r="C31" s="7" t="s">
        <v>21</v>
      </c>
      <c r="D31" s="7" t="s">
        <v>48</v>
      </c>
      <c r="E31" s="7"/>
      <c r="F31" s="7" t="s">
        <v>30</v>
      </c>
      <c r="G31" s="7">
        <v>7</v>
      </c>
      <c r="H31" s="7">
        <v>0</v>
      </c>
      <c r="I31" s="7" t="s">
        <v>89</v>
      </c>
    </row>
    <row r="32" spans="1:9" x14ac:dyDescent="0.25">
      <c r="A32" s="7" t="s">
        <v>73</v>
      </c>
      <c r="B32" s="7" t="s">
        <v>75</v>
      </c>
      <c r="C32" s="7" t="s">
        <v>21</v>
      </c>
      <c r="D32" s="7" t="s">
        <v>48</v>
      </c>
      <c r="E32" s="7"/>
      <c r="F32" s="7" t="s">
        <v>30</v>
      </c>
      <c r="G32" s="7">
        <v>7</v>
      </c>
      <c r="H32" s="7">
        <v>0</v>
      </c>
      <c r="I32" s="7" t="s">
        <v>89</v>
      </c>
    </row>
    <row r="33" spans="1:9" x14ac:dyDescent="0.25">
      <c r="A33" s="7" t="s">
        <v>74</v>
      </c>
      <c r="B33" s="7" t="s">
        <v>75</v>
      </c>
      <c r="C33" s="7" t="s">
        <v>21</v>
      </c>
      <c r="D33" s="7" t="s">
        <v>48</v>
      </c>
      <c r="E33" s="7"/>
      <c r="F33" s="7" t="s">
        <v>30</v>
      </c>
      <c r="G33" s="7">
        <v>7</v>
      </c>
      <c r="H33" s="7">
        <v>0</v>
      </c>
      <c r="I33" s="7" t="s">
        <v>89</v>
      </c>
    </row>
    <row r="34" spans="1:9" x14ac:dyDescent="0.25">
      <c r="A34" s="7" t="s">
        <v>77</v>
      </c>
      <c r="B34" s="7" t="s">
        <v>76</v>
      </c>
      <c r="C34" s="7" t="s">
        <v>20</v>
      </c>
      <c r="D34" s="7" t="s">
        <v>48</v>
      </c>
      <c r="E34" s="7"/>
      <c r="F34" s="7" t="s">
        <v>30</v>
      </c>
      <c r="G34" s="7">
        <v>6</v>
      </c>
      <c r="H34" s="7">
        <v>1</v>
      </c>
      <c r="I34" s="7" t="s">
        <v>88</v>
      </c>
    </row>
    <row r="35" spans="1:9" x14ac:dyDescent="0.25">
      <c r="A35" s="7" t="s">
        <v>78</v>
      </c>
      <c r="B35" s="7" t="s">
        <v>76</v>
      </c>
      <c r="C35" s="7" t="s">
        <v>20</v>
      </c>
      <c r="D35" s="7" t="s">
        <v>48</v>
      </c>
      <c r="E35" s="7"/>
      <c r="F35" s="7" t="s">
        <v>30</v>
      </c>
      <c r="G35" s="7">
        <v>6</v>
      </c>
      <c r="H35" s="7">
        <v>1</v>
      </c>
      <c r="I35" s="7" t="s">
        <v>88</v>
      </c>
    </row>
    <row r="36" spans="1:9" x14ac:dyDescent="0.25">
      <c r="A36" s="7" t="s">
        <v>79</v>
      </c>
      <c r="B36" s="7" t="s">
        <v>76</v>
      </c>
      <c r="C36" s="7" t="s">
        <v>21</v>
      </c>
      <c r="D36" s="7" t="s">
        <v>48</v>
      </c>
      <c r="E36" s="7"/>
      <c r="F36" s="7" t="s">
        <v>30</v>
      </c>
      <c r="G36" s="7">
        <v>6</v>
      </c>
      <c r="H36" s="7">
        <v>1</v>
      </c>
      <c r="I36" s="7" t="s">
        <v>88</v>
      </c>
    </row>
    <row r="37" spans="1:9" x14ac:dyDescent="0.25">
      <c r="A37" s="7" t="s">
        <v>80</v>
      </c>
      <c r="B37" s="7" t="s">
        <v>76</v>
      </c>
      <c r="C37" s="7" t="s">
        <v>21</v>
      </c>
      <c r="D37" s="7" t="s">
        <v>48</v>
      </c>
      <c r="E37" s="7"/>
      <c r="F37" s="7" t="s">
        <v>30</v>
      </c>
      <c r="G37" s="7">
        <v>6</v>
      </c>
      <c r="H37" s="7">
        <v>1</v>
      </c>
      <c r="I37" s="7" t="s">
        <v>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DB</vt:lpstr>
      <vt:lpstr>Model</vt:lpstr>
      <vt:lpstr>Training Typicals</vt:lpstr>
      <vt:lpstr>Classification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Plinio</dc:creator>
  <cp:lastModifiedBy>e463773</cp:lastModifiedBy>
  <dcterms:created xsi:type="dcterms:W3CDTF">2016-08-10T12:26:46Z</dcterms:created>
  <dcterms:modified xsi:type="dcterms:W3CDTF">2016-09-03T14:30:37Z</dcterms:modified>
</cp:coreProperties>
</file>